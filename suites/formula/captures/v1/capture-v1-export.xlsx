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es" sheetId="1" r:id="rId5"/>
    <sheet state="visible" name="Inputs" sheetId="2" r:id="rId6"/>
    <sheet state="visible" name="About" sheetId="3" r:id="rId7"/>
  </sheets>
  <definedNames/>
  <calcPr/>
</workbook>
</file>

<file path=xl/sharedStrings.xml><?xml version="1.0" encoding="utf-8"?>
<sst xmlns="http://schemas.openxmlformats.org/spreadsheetml/2006/main" count="735" uniqueCount="724">
  <si>
    <t>fancy-formula capture workbook v1. Every formula on Cases has NO cached value: Google Sheets computes them all.</t>
  </si>
  <si>
    <t>id</t>
  </si>
  <si>
    <t>Upload to Google Drive, open as a Google Sheet, set File &gt; Settings: Locale United States, Time zone (GMT+00:00) UTC.</t>
  </si>
  <si>
    <t>min_qty</t>
  </si>
  <si>
    <t>unit_price</t>
  </si>
  <si>
    <t>formula</t>
  </si>
  <si>
    <t>c</t>
  </si>
  <si>
    <t>type</t>
  </si>
  <si>
    <t>apple</t>
  </si>
  <si>
    <t>error_type</t>
  </si>
  <si>
    <t>Let it recalculate, then File &gt; Download &gt; Microsoft Excel (.xlsx). Do not edit any cell.</t>
  </si>
  <si>
    <t>length</t>
  </si>
  <si>
    <t>=1+1</t>
  </si>
  <si>
    <t>Record provenance.json beside the export (date, capturer, account type, locale, time zone, export route, sha256 of both files).</t>
  </si>
  <si>
    <t>K-0001</t>
  </si>
  <si>
    <t>a</t>
  </si>
  <si>
    <t>scripts/build-formula-cases.py in fancy-conformance refuses an export it cannot trust.</t>
  </si>
  <si>
    <t>b</t>
  </si>
  <si>
    <t>d</t>
  </si>
  <si>
    <t>&gt;=200</t>
  </si>
  <si>
    <t>found</t>
  </si>
  <si>
    <t>20</t>
  </si>
  <si>
    <t>Banana</t>
  </si>
  <si>
    <t>+1</t>
  </si>
  <si>
    <t>=SUM(A1)</t>
  </si>
  <si>
    <t>e</t>
  </si>
  <si>
    <t>cherry</t>
  </si>
  <si>
    <t>@SUM(A1)</t>
  </si>
  <si>
    <t>a*</t>
  </si>
  <si>
    <t>K-0002</t>
  </si>
  <si>
    <t>-1</t>
  </si>
  <si>
    <t>0.00</t>
  </si>
  <si>
    <t>P-0001</t>
  </si>
  <si>
    <t>abc</t>
  </si>
  <si>
    <t xml:space="preserve">	x</t>
  </si>
  <si>
    <t>=HYPERLINK("x")</t>
  </si>
  <si>
    <t>entered</t>
  </si>
  <si>
    <t>derived</t>
  </si>
  <si>
    <t>P-0002</t>
  </si>
  <si>
    <t>P-0003</t>
  </si>
  <si>
    <t>P-0004</t>
  </si>
  <si>
    <t>P-0005</t>
  </si>
  <si>
    <t>P-0006</t>
  </si>
  <si>
    <t>P-0007</t>
  </si>
  <si>
    <t>P-0008</t>
  </si>
  <si>
    <t>P-0009</t>
  </si>
  <si>
    <t>P-0010</t>
  </si>
  <si>
    <t>P-0011</t>
  </si>
  <si>
    <t>P-0012</t>
  </si>
  <si>
    <t>P-0013</t>
  </si>
  <si>
    <t>P-0014</t>
  </si>
  <si>
    <t>P-0015</t>
  </si>
  <si>
    <t>P-0016</t>
  </si>
  <si>
    <t>P-0017</t>
  </si>
  <si>
    <t>P-0018</t>
  </si>
  <si>
    <t>P-0019</t>
  </si>
  <si>
    <t>P-0020</t>
  </si>
  <si>
    <t>P-0021</t>
  </si>
  <si>
    <t>P-0022</t>
  </si>
  <si>
    <t>P-0023</t>
  </si>
  <si>
    <t>P-0024</t>
  </si>
  <si>
    <t>P-0025</t>
  </si>
  <si>
    <t>P-0026</t>
  </si>
  <si>
    <t>P-0027</t>
  </si>
  <si>
    <t>P-0028</t>
  </si>
  <si>
    <t>P-0029</t>
  </si>
  <si>
    <t>P-0030</t>
  </si>
  <si>
    <t>P-0031</t>
  </si>
  <si>
    <t>P-0032</t>
  </si>
  <si>
    <t>P-0033</t>
  </si>
  <si>
    <t>P-0034</t>
  </si>
  <si>
    <t>P-0035</t>
  </si>
  <si>
    <t>P-0036</t>
  </si>
  <si>
    <t>P-0037</t>
  </si>
  <si>
    <t>P-0038</t>
  </si>
  <si>
    <t>P-0039</t>
  </si>
  <si>
    <t>P-0040</t>
  </si>
  <si>
    <t>P-0041</t>
  </si>
  <si>
    <t>P-0042</t>
  </si>
  <si>
    <t>C-0001</t>
  </si>
  <si>
    <t>C-0002</t>
  </si>
  <si>
    <t>C-0003</t>
  </si>
  <si>
    <t>C-0004</t>
  </si>
  <si>
    <t>C-0005</t>
  </si>
  <si>
    <t>C-0006</t>
  </si>
  <si>
    <t>C-0007</t>
  </si>
  <si>
    <t>C-0008</t>
  </si>
  <si>
    <t>C-0009</t>
  </si>
  <si>
    <t>C-0010</t>
  </si>
  <si>
    <t>C-0011</t>
  </si>
  <si>
    <t>C-0012</t>
  </si>
  <si>
    <t>C-0013</t>
  </si>
  <si>
    <t>C-0014</t>
  </si>
  <si>
    <t>C-0015</t>
  </si>
  <si>
    <t>C-0016</t>
  </si>
  <si>
    <t>C-0017</t>
  </si>
  <si>
    <t>C-0018</t>
  </si>
  <si>
    <t>C-0019</t>
  </si>
  <si>
    <t>C-0020</t>
  </si>
  <si>
    <t>C-0021</t>
  </si>
  <si>
    <t>C-0022</t>
  </si>
  <si>
    <t>C-0023</t>
  </si>
  <si>
    <t>C-0024</t>
  </si>
  <si>
    <t>C-0025</t>
  </si>
  <si>
    <t>C-0026</t>
  </si>
  <si>
    <t>C-0027</t>
  </si>
  <si>
    <t>C-0028</t>
  </si>
  <si>
    <t>C-0029</t>
  </si>
  <si>
    <t>C-0030</t>
  </si>
  <si>
    <t>C-0031</t>
  </si>
  <si>
    <t>C-0032</t>
  </si>
  <si>
    <t>C-0033</t>
  </si>
  <si>
    <t>C-0034</t>
  </si>
  <si>
    <t>C-0035</t>
  </si>
  <si>
    <t>C-0036</t>
  </si>
  <si>
    <t>C-0037</t>
  </si>
  <si>
    <t>C-0038</t>
  </si>
  <si>
    <t>C-0039</t>
  </si>
  <si>
    <t>C-0040</t>
  </si>
  <si>
    <t>C-0041</t>
  </si>
  <si>
    <t>C-0042</t>
  </si>
  <si>
    <t>C-0043</t>
  </si>
  <si>
    <t>C-0044</t>
  </si>
  <si>
    <t>C-0045</t>
  </si>
  <si>
    <t>C-0046</t>
  </si>
  <si>
    <t>C-0047</t>
  </si>
  <si>
    <t>C-0048</t>
  </si>
  <si>
    <t>C-0049</t>
  </si>
  <si>
    <t>C-0050</t>
  </si>
  <si>
    <t>C-0051</t>
  </si>
  <si>
    <t>C-0052</t>
  </si>
  <si>
    <t>C-0053</t>
  </si>
  <si>
    <t>C-0054</t>
  </si>
  <si>
    <t>C-0055</t>
  </si>
  <si>
    <t>C-0056</t>
  </si>
  <si>
    <t>C-0057</t>
  </si>
  <si>
    <t>C-0058</t>
  </si>
  <si>
    <t>C-0059</t>
  </si>
  <si>
    <t>C-0060</t>
  </si>
  <si>
    <t>C-0061</t>
  </si>
  <si>
    <t>F-0001</t>
  </si>
  <si>
    <t>F-0002</t>
  </si>
  <si>
    <t>F-0003</t>
  </si>
  <si>
    <t>F-0004</t>
  </si>
  <si>
    <t>F-0005</t>
  </si>
  <si>
    <t>F-0006</t>
  </si>
  <si>
    <t>F-0007</t>
  </si>
  <si>
    <t>F-0008</t>
  </si>
  <si>
    <t>F-0009</t>
  </si>
  <si>
    <t>F-0010</t>
  </si>
  <si>
    <t>F-0011</t>
  </si>
  <si>
    <t>F-0012</t>
  </si>
  <si>
    <t>F-0013</t>
  </si>
  <si>
    <t>F-0014</t>
  </si>
  <si>
    <t>F-0015</t>
  </si>
  <si>
    <t>F-0016</t>
  </si>
  <si>
    <t>F-0017</t>
  </si>
  <si>
    <t>F-0018</t>
  </si>
  <si>
    <t>F-0019</t>
  </si>
  <si>
    <t>F-0020</t>
  </si>
  <si>
    <t>F-0021</t>
  </si>
  <si>
    <t>F-0022</t>
  </si>
  <si>
    <t>F-0023</t>
  </si>
  <si>
    <t>F-0024</t>
  </si>
  <si>
    <t>F-0025</t>
  </si>
  <si>
    <t>F-0026</t>
  </si>
  <si>
    <t>F-0027</t>
  </si>
  <si>
    <t>F-0028</t>
  </si>
  <si>
    <t>F-0029</t>
  </si>
  <si>
    <t>F-0030</t>
  </si>
  <si>
    <t>F-0031</t>
  </si>
  <si>
    <t>F-0032</t>
  </si>
  <si>
    <t>F-0033</t>
  </si>
  <si>
    <t>F-0034</t>
  </si>
  <si>
    <t>F-0035</t>
  </si>
  <si>
    <t>F-0036</t>
  </si>
  <si>
    <t>D-0001</t>
  </si>
  <si>
    <t>D-0002</t>
  </si>
  <si>
    <t>D-0003</t>
  </si>
  <si>
    <t>D-0004</t>
  </si>
  <si>
    <t>D-0005</t>
  </si>
  <si>
    <t>D-0006</t>
  </si>
  <si>
    <t>D-0007</t>
  </si>
  <si>
    <t>D-0008</t>
  </si>
  <si>
    <t>D-0009</t>
  </si>
  <si>
    <t>D-0010</t>
  </si>
  <si>
    <t>D-0011</t>
  </si>
  <si>
    <t>D-0012</t>
  </si>
  <si>
    <t>D-0013</t>
  </si>
  <si>
    <t>D-0014</t>
  </si>
  <si>
    <t>D-0015</t>
  </si>
  <si>
    <t>D-0016</t>
  </si>
  <si>
    <t>D-0017</t>
  </si>
  <si>
    <t>D-0018</t>
  </si>
  <si>
    <t>D-0019</t>
  </si>
  <si>
    <t>D-0020</t>
  </si>
  <si>
    <t>D-0021</t>
  </si>
  <si>
    <t>D-0022</t>
  </si>
  <si>
    <t>D-0023</t>
  </si>
  <si>
    <t>D-0024</t>
  </si>
  <si>
    <t>D-0025</t>
  </si>
  <si>
    <t>D-0026</t>
  </si>
  <si>
    <t>D-0027</t>
  </si>
  <si>
    <t>D-0028</t>
  </si>
  <si>
    <t>L-0001</t>
  </si>
  <si>
    <t>L-0002</t>
  </si>
  <si>
    <t>L-0003</t>
  </si>
  <si>
    <t>L-0004</t>
  </si>
  <si>
    <t>L-0005</t>
  </si>
  <si>
    <t>L-0006</t>
  </si>
  <si>
    <t>L-0007</t>
  </si>
  <si>
    <t>L-0008</t>
  </si>
  <si>
    <t>L-0009</t>
  </si>
  <si>
    <t>L-0010</t>
  </si>
  <si>
    <t>L-0011</t>
  </si>
  <si>
    <t>L-0012</t>
  </si>
  <si>
    <t>L-0013</t>
  </si>
  <si>
    <t>L-0014</t>
  </si>
  <si>
    <t>L-0015</t>
  </si>
  <si>
    <t>L-0016</t>
  </si>
  <si>
    <t>L-0017</t>
  </si>
  <si>
    <t>L-0018</t>
  </si>
  <si>
    <t>L-0019</t>
  </si>
  <si>
    <t>L-0020</t>
  </si>
  <si>
    <t>L-0021</t>
  </si>
  <si>
    <t>L-0022</t>
  </si>
  <si>
    <t>S-0001</t>
  </si>
  <si>
    <t>S-0002</t>
  </si>
  <si>
    <t>S-0003</t>
  </si>
  <si>
    <t>S-0004</t>
  </si>
  <si>
    <t>S-0005</t>
  </si>
  <si>
    <t>S-0006</t>
  </si>
  <si>
    <t>S-0007</t>
  </si>
  <si>
    <t>S-0008</t>
  </si>
  <si>
    <t>S-0009</t>
  </si>
  <si>
    <t>S-0010</t>
  </si>
  <si>
    <t>S-0011</t>
  </si>
  <si>
    <t>S-0012</t>
  </si>
  <si>
    <t>S-0013</t>
  </si>
  <si>
    <t>S-0014</t>
  </si>
  <si>
    <t>S-0015</t>
  </si>
  <si>
    <t>S-0016</t>
  </si>
  <si>
    <t>S-0017</t>
  </si>
  <si>
    <t>S-0018</t>
  </si>
  <si>
    <t>S-0019</t>
  </si>
  <si>
    <t>S-0020</t>
  </si>
  <si>
    <t>S-0021</t>
  </si>
  <si>
    <t>S-0022</t>
  </si>
  <si>
    <t>S-0023</t>
  </si>
  <si>
    <t>S-0024</t>
  </si>
  <si>
    <t>E-0001</t>
  </si>
  <si>
    <t>E-0002</t>
  </si>
  <si>
    <t>E-0003</t>
  </si>
  <si>
    <t>E-0004</t>
  </si>
  <si>
    <t>E-0005</t>
  </si>
  <si>
    <t>E-0006</t>
  </si>
  <si>
    <t>E-0007</t>
  </si>
  <si>
    <t>E-0008</t>
  </si>
  <si>
    <t>E-0009</t>
  </si>
  <si>
    <t>E-0010</t>
  </si>
  <si>
    <t>E-0011</t>
  </si>
  <si>
    <t>E-0012</t>
  </si>
  <si>
    <t>E-0013</t>
  </si>
  <si>
    <t>E-0014</t>
  </si>
  <si>
    <t>E-0015</t>
  </si>
  <si>
    <t>E-0016</t>
  </si>
  <si>
    <t>E-0017</t>
  </si>
  <si>
    <t>E-0018</t>
  </si>
  <si>
    <t>E-0019</t>
  </si>
  <si>
    <t>E-0020</t>
  </si>
  <si>
    <t>E-0021</t>
  </si>
  <si>
    <t>E-0022</t>
  </si>
  <si>
    <t>E-0023</t>
  </si>
  <si>
    <t>E-0024</t>
  </si>
  <si>
    <t>E-0025</t>
  </si>
  <si>
    <t>E-0026</t>
  </si>
  <si>
    <t>E-0027</t>
  </si>
  <si>
    <t>E-0028</t>
  </si>
  <si>
    <t>E-0029</t>
  </si>
  <si>
    <t>E-0030</t>
  </si>
  <si>
    <t>E-0031</t>
  </si>
  <si>
    <t>E-0032</t>
  </si>
  <si>
    <t>E-0033</t>
  </si>
  <si>
    <t>E-0034</t>
  </si>
  <si>
    <t>E-0035</t>
  </si>
  <si>
    <t>E-0036</t>
  </si>
  <si>
    <t>E-0037</t>
  </si>
  <si>
    <t>E-0038</t>
  </si>
  <si>
    <t>E-0039</t>
  </si>
  <si>
    <t>E-0040</t>
  </si>
  <si>
    <t>E-0041</t>
  </si>
  <si>
    <t>E-0042</t>
  </si>
  <si>
    <t>E-0043</t>
  </si>
  <si>
    <t>E-0044</t>
  </si>
  <si>
    <t>E-0045</t>
  </si>
  <si>
    <t>E-0046</t>
  </si>
  <si>
    <t>E-0047</t>
  </si>
  <si>
    <t>E-0048</t>
  </si>
  <si>
    <t>E-0049</t>
  </si>
  <si>
    <t>E-0050</t>
  </si>
  <si>
    <t>E-0051</t>
  </si>
  <si>
    <t>E-0052</t>
  </si>
  <si>
    <t>E-0053</t>
  </si>
  <si>
    <t>E-0054</t>
  </si>
  <si>
    <t>E-0055</t>
  </si>
  <si>
    <t>E-0056</t>
  </si>
  <si>
    <t>E-0057</t>
  </si>
  <si>
    <t>E-0058</t>
  </si>
  <si>
    <t>E-0059</t>
  </si>
  <si>
    <t>E-0060</t>
  </si>
  <si>
    <t>E-0061</t>
  </si>
  <si>
    <t>E-0062</t>
  </si>
  <si>
    <t>E-0063</t>
  </si>
  <si>
    <t>E-0064</t>
  </si>
  <si>
    <t>E-0065</t>
  </si>
  <si>
    <t>E-0066</t>
  </si>
  <si>
    <t>E-0067</t>
  </si>
  <si>
    <t>E-0068</t>
  </si>
  <si>
    <t>E-0069</t>
  </si>
  <si>
    <t>E-0070</t>
  </si>
  <si>
    <t>E-0071</t>
  </si>
  <si>
    <t>E-0072</t>
  </si>
  <si>
    <t>E-0073</t>
  </si>
  <si>
    <t>E-0074</t>
  </si>
  <si>
    <t>E-0075</t>
  </si>
  <si>
    <t>E-0076</t>
  </si>
  <si>
    <t>E-0077</t>
  </si>
  <si>
    <t>E-0078</t>
  </si>
  <si>
    <t>E-0079</t>
  </si>
  <si>
    <t>E-0080</t>
  </si>
  <si>
    <t>E-0081</t>
  </si>
  <si>
    <t>E-0082</t>
  </si>
  <si>
    <t>E-0083</t>
  </si>
  <si>
    <t>E-0084</t>
  </si>
  <si>
    <t>E-0085</t>
  </si>
  <si>
    <t>E-0086</t>
  </si>
  <si>
    <t>E-0087</t>
  </si>
  <si>
    <t>E-0088</t>
  </si>
  <si>
    <t>E-0089</t>
  </si>
  <si>
    <t>E-0090</t>
  </si>
  <si>
    <t>E-0091</t>
  </si>
  <si>
    <t>E-0092</t>
  </si>
  <si>
    <t>E-0093</t>
  </si>
  <si>
    <t>E-0094</t>
  </si>
  <si>
    <t>E-0095</t>
  </si>
  <si>
    <t>E-0096</t>
  </si>
  <si>
    <t>E-0097</t>
  </si>
  <si>
    <t>E-0098</t>
  </si>
  <si>
    <t>E-0099</t>
  </si>
  <si>
    <t>E-0100</t>
  </si>
  <si>
    <t>E-0101</t>
  </si>
  <si>
    <t>E-0102</t>
  </si>
  <si>
    <t>E-0103</t>
  </si>
  <si>
    <t>E-0104</t>
  </si>
  <si>
    <t>E-0105</t>
  </si>
  <si>
    <t>E-0106</t>
  </si>
  <si>
    <t>E-0107</t>
  </si>
  <si>
    <t>E-0108</t>
  </si>
  <si>
    <t>E-0109</t>
  </si>
  <si>
    <t>E-0110</t>
  </si>
  <si>
    <t>E-0111</t>
  </si>
  <si>
    <t>E-0112</t>
  </si>
  <si>
    <t>E-0113</t>
  </si>
  <si>
    <t>E-0114</t>
  </si>
  <si>
    <t>E-0115</t>
  </si>
  <si>
    <t>E-0116</t>
  </si>
  <si>
    <t>E-0117</t>
  </si>
  <si>
    <t>E-0118</t>
  </si>
  <si>
    <t>E-0119</t>
  </si>
  <si>
    <t>E-0120</t>
  </si>
  <si>
    <t>E-0121</t>
  </si>
  <si>
    <t>E-0122</t>
  </si>
  <si>
    <t>E-0123</t>
  </si>
  <si>
    <t>E-0124</t>
  </si>
  <si>
    <t>E-0125</t>
  </si>
  <si>
    <t>E-0126</t>
  </si>
  <si>
    <t>E-0127</t>
  </si>
  <si>
    <t>E-0128</t>
  </si>
  <si>
    <t>E-0129</t>
  </si>
  <si>
    <t>E-0130</t>
  </si>
  <si>
    <t>E-0131</t>
  </si>
  <si>
    <t>E-0132</t>
  </si>
  <si>
    <t>E-0133</t>
  </si>
  <si>
    <t>E-0134</t>
  </si>
  <si>
    <t>E-0135</t>
  </si>
  <si>
    <t>E-0136</t>
  </si>
  <si>
    <t>E-0137</t>
  </si>
  <si>
    <t>E-0138</t>
  </si>
  <si>
    <t>E-0139</t>
  </si>
  <si>
    <t>E-0140</t>
  </si>
  <si>
    <t>E-0141</t>
  </si>
  <si>
    <t>E-0142</t>
  </si>
  <si>
    <t>E-0143</t>
  </si>
  <si>
    <t>E-0144</t>
  </si>
  <si>
    <t>E-0145</t>
  </si>
  <si>
    <t>E-0146</t>
  </si>
  <si>
    <t>E-0147</t>
  </si>
  <si>
    <t>E-0148</t>
  </si>
  <si>
    <t>E-0149</t>
  </si>
  <si>
    <t>E-0150</t>
  </si>
  <si>
    <t>E-0151</t>
  </si>
  <si>
    <t>E-0152</t>
  </si>
  <si>
    <t>E-0153</t>
  </si>
  <si>
    <t>E-0154</t>
  </si>
  <si>
    <t>E-0155</t>
  </si>
  <si>
    <t>E-0156</t>
  </si>
  <si>
    <t>E-0157</t>
  </si>
  <si>
    <t>E-0158</t>
  </si>
  <si>
    <t>E-0159</t>
  </si>
  <si>
    <t>E-0160</t>
  </si>
  <si>
    <t>E-0161</t>
  </si>
  <si>
    <t>E-0162</t>
  </si>
  <si>
    <t>E-0163</t>
  </si>
  <si>
    <t>E-0164</t>
  </si>
  <si>
    <t>E-0165</t>
  </si>
  <si>
    <t>E-0166</t>
  </si>
  <si>
    <t>E-0167</t>
  </si>
  <si>
    <t>E-0168</t>
  </si>
  <si>
    <t>E-0169</t>
  </si>
  <si>
    <t>E-0170</t>
  </si>
  <si>
    <t>E-0171</t>
  </si>
  <si>
    <t>E-0172</t>
  </si>
  <si>
    <t>E-0173</t>
  </si>
  <si>
    <t>E-0174</t>
  </si>
  <si>
    <t>E-0175</t>
  </si>
  <si>
    <t>E-0176</t>
  </si>
  <si>
    <t>E-0177</t>
  </si>
  <si>
    <t>E-0178</t>
  </si>
  <si>
    <t>E-0179</t>
  </si>
  <si>
    <t>E-0180</t>
  </si>
  <si>
    <t>E-0181</t>
  </si>
  <si>
    <t>E-0182</t>
  </si>
  <si>
    <t>E-0183</t>
  </si>
  <si>
    <t>E-0184</t>
  </si>
  <si>
    <t>E-0185</t>
  </si>
  <si>
    <t>E-0186</t>
  </si>
  <si>
    <t>E-0187</t>
  </si>
  <si>
    <t>E-0188</t>
  </si>
  <si>
    <t>E-0189</t>
  </si>
  <si>
    <t>E-0190</t>
  </si>
  <si>
    <t>E-0191</t>
  </si>
  <si>
    <t>E-0192</t>
  </si>
  <si>
    <t>E-0193</t>
  </si>
  <si>
    <t>E-0194</t>
  </si>
  <si>
    <t>E-0195</t>
  </si>
  <si>
    <t>E-0196</t>
  </si>
  <si>
    <t>E-0197</t>
  </si>
  <si>
    <t>E-0198</t>
  </si>
  <si>
    <t>E-0199</t>
  </si>
  <si>
    <t>E-0200</t>
  </si>
  <si>
    <t>E-0201</t>
  </si>
  <si>
    <t>E-0202</t>
  </si>
  <si>
    <t>E-0203</t>
  </si>
  <si>
    <t>E-0204</t>
  </si>
  <si>
    <t>E-0205</t>
  </si>
  <si>
    <t>E-0206</t>
  </si>
  <si>
    <t>E-0207</t>
  </si>
  <si>
    <t>E-0208</t>
  </si>
  <si>
    <t>E-0209</t>
  </si>
  <si>
    <t>E-0210</t>
  </si>
  <si>
    <t>E-0211</t>
  </si>
  <si>
    <t>E-0212</t>
  </si>
  <si>
    <t>E-0213</t>
  </si>
  <si>
    <t>E-0214</t>
  </si>
  <si>
    <t>E-0215</t>
  </si>
  <si>
    <t>E-0216</t>
  </si>
  <si>
    <t>E-0217</t>
  </si>
  <si>
    <t>E-0218</t>
  </si>
  <si>
    <t>E-0219</t>
  </si>
  <si>
    <t>E-0220</t>
  </si>
  <si>
    <t>E-0221</t>
  </si>
  <si>
    <t>E-0222</t>
  </si>
  <si>
    <t>E-0223</t>
  </si>
  <si>
    <t>E-0224</t>
  </si>
  <si>
    <t>E-0225</t>
  </si>
  <si>
    <t>E-0226</t>
  </si>
  <si>
    <t>E-0227</t>
  </si>
  <si>
    <t>E-0228</t>
  </si>
  <si>
    <t>E-0229</t>
  </si>
  <si>
    <t>E-0230</t>
  </si>
  <si>
    <t>E-0231</t>
  </si>
  <si>
    <t>E-0232</t>
  </si>
  <si>
    <t>E-0233</t>
  </si>
  <si>
    <t>E-0234</t>
  </si>
  <si>
    <t>E-0235</t>
  </si>
  <si>
    <t>E-0236</t>
  </si>
  <si>
    <t>E-0237</t>
  </si>
  <si>
    <t>E-0238</t>
  </si>
  <si>
    <t>E-0239</t>
  </si>
  <si>
    <t>E-0240</t>
  </si>
  <si>
    <t>E-0241</t>
  </si>
  <si>
    <t>E-0242</t>
  </si>
  <si>
    <t>E-0243</t>
  </si>
  <si>
    <t>E-0244</t>
  </si>
  <si>
    <t>E-0245</t>
  </si>
  <si>
    <t>E-0246</t>
  </si>
  <si>
    <t>E-0247</t>
  </si>
  <si>
    <t>E-0248</t>
  </si>
  <si>
    <t>E-0249</t>
  </si>
  <si>
    <t>E-0250</t>
  </si>
  <si>
    <t>E-0251</t>
  </si>
  <si>
    <t>E-0252</t>
  </si>
  <si>
    <t>E-0253</t>
  </si>
  <si>
    <t>E-0254</t>
  </si>
  <si>
    <t>E-0255</t>
  </si>
  <si>
    <t>E-0256</t>
  </si>
  <si>
    <t>E-0257</t>
  </si>
  <si>
    <t>E-0258</t>
  </si>
  <si>
    <t>E-0259</t>
  </si>
  <si>
    <t>E-0260</t>
  </si>
  <si>
    <t>E-0261</t>
  </si>
  <si>
    <t>E-0262</t>
  </si>
  <si>
    <t>E-0263</t>
  </si>
  <si>
    <t>E-0264</t>
  </si>
  <si>
    <t>E-0265</t>
  </si>
  <si>
    <t>E-0266</t>
  </si>
  <si>
    <t>E-0267</t>
  </si>
  <si>
    <t>E-0268</t>
  </si>
  <si>
    <t>E-0269</t>
  </si>
  <si>
    <t>E-0270</t>
  </si>
  <si>
    <t>E-0271</t>
  </si>
  <si>
    <t>E-0272</t>
  </si>
  <si>
    <t>E-0273</t>
  </si>
  <si>
    <t>E-0274</t>
  </si>
  <si>
    <t>E-0275</t>
  </si>
  <si>
    <t>E-0276</t>
  </si>
  <si>
    <t>E-0277</t>
  </si>
  <si>
    <t>E-0278</t>
  </si>
  <si>
    <t>E-0279</t>
  </si>
  <si>
    <t>E-0280</t>
  </si>
  <si>
    <t>E-0281</t>
  </si>
  <si>
    <t>E-0282</t>
  </si>
  <si>
    <t>E-0283</t>
  </si>
  <si>
    <t>E-0284</t>
  </si>
  <si>
    <t>E-0285</t>
  </si>
  <si>
    <t>E-0286</t>
  </si>
  <si>
    <t>E-0287</t>
  </si>
  <si>
    <t>E-0288</t>
  </si>
  <si>
    <t>E-0289</t>
  </si>
  <si>
    <t>E-0290</t>
  </si>
  <si>
    <t>E-0291</t>
  </si>
  <si>
    <t>E-0292</t>
  </si>
  <si>
    <t>E-0293</t>
  </si>
  <si>
    <t>E-0294</t>
  </si>
  <si>
    <t>E-0295</t>
  </si>
  <si>
    <t>E-0296</t>
  </si>
  <si>
    <t>E-0297</t>
  </si>
  <si>
    <t>E-0298</t>
  </si>
  <si>
    <t>E-0299</t>
  </si>
  <si>
    <t>E-0300</t>
  </si>
  <si>
    <t>E-0301</t>
  </si>
  <si>
    <t>E-0302</t>
  </si>
  <si>
    <t>E-0303</t>
  </si>
  <si>
    <t>E-0304</t>
  </si>
  <si>
    <t>E-0305</t>
  </si>
  <si>
    <t>E-0306</t>
  </si>
  <si>
    <t>E-0307</t>
  </si>
  <si>
    <t>E-0308</t>
  </si>
  <si>
    <t>E-0309</t>
  </si>
  <si>
    <t>E-0310</t>
  </si>
  <si>
    <t>E-0311</t>
  </si>
  <si>
    <t>E-0312</t>
  </si>
  <si>
    <t>E-0313</t>
  </si>
  <si>
    <t>E-0314</t>
  </si>
  <si>
    <t>E-0315</t>
  </si>
  <si>
    <t>E-0316</t>
  </si>
  <si>
    <t>E-0317</t>
  </si>
  <si>
    <t>E-0318</t>
  </si>
  <si>
    <t>E-0319</t>
  </si>
  <si>
    <t>E-0320</t>
  </si>
  <si>
    <t>E-0321</t>
  </si>
  <si>
    <t>E-0322</t>
  </si>
  <si>
    <t>E-0323</t>
  </si>
  <si>
    <t>E-0324</t>
  </si>
  <si>
    <t>E-0325</t>
  </si>
  <si>
    <t>E-0326</t>
  </si>
  <si>
    <t>E-0327</t>
  </si>
  <si>
    <t>E-0328</t>
  </si>
  <si>
    <t>E-0329</t>
  </si>
  <si>
    <t>E-0330</t>
  </si>
  <si>
    <t>E-0331</t>
  </si>
  <si>
    <t>E-0332</t>
  </si>
  <si>
    <t>E-0333</t>
  </si>
  <si>
    <t>E-0334</t>
  </si>
  <si>
    <t>E-0335</t>
  </si>
  <si>
    <t>E-0336</t>
  </si>
  <si>
    <t>E-0337</t>
  </si>
  <si>
    <t>E-0338</t>
  </si>
  <si>
    <t>E-0339</t>
  </si>
  <si>
    <t>E-0340</t>
  </si>
  <si>
    <t>E-0341</t>
  </si>
  <si>
    <t>E-0342</t>
  </si>
  <si>
    <t>E-0343</t>
  </si>
  <si>
    <t>E-0344</t>
  </si>
  <si>
    <t>E-0345</t>
  </si>
  <si>
    <t>E-0346</t>
  </si>
  <si>
    <t>E-0347</t>
  </si>
  <si>
    <t>E-0348</t>
  </si>
  <si>
    <t>E-0349</t>
  </si>
  <si>
    <t>E-0350</t>
  </si>
  <si>
    <t>E-0351</t>
  </si>
  <si>
    <t>E-0352</t>
  </si>
  <si>
    <t>E-0353</t>
  </si>
  <si>
    <t>E-0354</t>
  </si>
  <si>
    <t>E-0355</t>
  </si>
  <si>
    <t>E-0356</t>
  </si>
  <si>
    <t>E-0357</t>
  </si>
  <si>
    <t>E-0358</t>
  </si>
  <si>
    <t>E-0359</t>
  </si>
  <si>
    <t>E-0360</t>
  </si>
  <si>
    <t>E-0361</t>
  </si>
  <si>
    <t>E-0362</t>
  </si>
  <si>
    <t>E-0363</t>
  </si>
  <si>
    <t>E-0364</t>
  </si>
  <si>
    <t>E-0365</t>
  </si>
  <si>
    <t>E-0366</t>
  </si>
  <si>
    <t>E-0367</t>
  </si>
  <si>
    <t>E-0368</t>
  </si>
  <si>
    <t>E-0369</t>
  </si>
  <si>
    <t>E-0370</t>
  </si>
  <si>
    <t>E-0371</t>
  </si>
  <si>
    <t>E-0372</t>
  </si>
  <si>
    <t>E-0373</t>
  </si>
  <si>
    <t>E-0374</t>
  </si>
  <si>
    <t>E-0375</t>
  </si>
  <si>
    <t>E-0376</t>
  </si>
  <si>
    <t>E-0377</t>
  </si>
  <si>
    <t>E-0378</t>
  </si>
  <si>
    <t>E-0379</t>
  </si>
  <si>
    <t>E-0380</t>
  </si>
  <si>
    <t>E-0381</t>
  </si>
  <si>
    <t>E-0382</t>
  </si>
  <si>
    <t>E-0383</t>
  </si>
  <si>
    <t>E-0384</t>
  </si>
  <si>
    <t>E-0385</t>
  </si>
  <si>
    <t>E-0386</t>
  </si>
  <si>
    <t>E-0387</t>
  </si>
  <si>
    <t>E-0388</t>
  </si>
  <si>
    <t>E-0389</t>
  </si>
  <si>
    <t>E-0390</t>
  </si>
  <si>
    <t>E-0391</t>
  </si>
  <si>
    <t>E-0392</t>
  </si>
  <si>
    <t>E-0393</t>
  </si>
  <si>
    <t>E-0394</t>
  </si>
  <si>
    <t>E-0395</t>
  </si>
  <si>
    <t>E-0396</t>
  </si>
  <si>
    <t>E-0397</t>
  </si>
  <si>
    <t>E-0398</t>
  </si>
  <si>
    <t>E-0399</t>
  </si>
  <si>
    <t>E-0400</t>
  </si>
  <si>
    <t>E-0401</t>
  </si>
  <si>
    <t>E-0402</t>
  </si>
  <si>
    <t>E-0403</t>
  </si>
  <si>
    <t>E-0404</t>
  </si>
  <si>
    <t>E-0405</t>
  </si>
  <si>
    <t>E-0406</t>
  </si>
  <si>
    <t>E-0407</t>
  </si>
  <si>
    <t>E-0408</t>
  </si>
  <si>
    <t>E-0409</t>
  </si>
  <si>
    <t>E-0410</t>
  </si>
  <si>
    <t>E-0411</t>
  </si>
  <si>
    <t>E-0412</t>
  </si>
  <si>
    <t>E-0413</t>
  </si>
  <si>
    <t>E-0414</t>
  </si>
  <si>
    <t>E-0415</t>
  </si>
  <si>
    <t>E-0416</t>
  </si>
  <si>
    <t>E-0417</t>
  </si>
  <si>
    <t>E-0418</t>
  </si>
  <si>
    <t>E-0419</t>
  </si>
  <si>
    <t>E-0420</t>
  </si>
  <si>
    <t>E-0421</t>
  </si>
  <si>
    <t>E-0422</t>
  </si>
  <si>
    <t>E-0423</t>
  </si>
  <si>
    <t>E-0424</t>
  </si>
  <si>
    <t>A-0001</t>
  </si>
  <si>
    <t>A-0002</t>
  </si>
  <si>
    <t>A-0003</t>
  </si>
  <si>
    <t>A-0004</t>
  </si>
  <si>
    <t>A-0005</t>
  </si>
  <si>
    <t>A-0006</t>
  </si>
  <si>
    <t>A-0007</t>
  </si>
  <si>
    <t>A-0008</t>
  </si>
  <si>
    <t>A-0009</t>
  </si>
  <si>
    <t>A-0010</t>
  </si>
  <si>
    <t>A-0011</t>
  </si>
  <si>
    <t>A-0012</t>
  </si>
  <si>
    <t>A-0013</t>
  </si>
  <si>
    <t>A-0014</t>
  </si>
  <si>
    <t>A-0015</t>
  </si>
  <si>
    <t>A-0016</t>
  </si>
  <si>
    <t>A-0017</t>
  </si>
  <si>
    <t>A-0018</t>
  </si>
  <si>
    <t>A-0019</t>
  </si>
  <si>
    <t>A-0020</t>
  </si>
  <si>
    <t>A-0021</t>
  </si>
  <si>
    <t>A-0022</t>
  </si>
  <si>
    <t>A-0023</t>
  </si>
  <si>
    <t>A-0024</t>
  </si>
  <si>
    <t>A-0025</t>
  </si>
  <si>
    <t>A-0026</t>
  </si>
  <si>
    <t>A-0027</t>
  </si>
  <si>
    <t>A-0028</t>
  </si>
  <si>
    <t>A-0029</t>
  </si>
  <si>
    <t>A-0030</t>
  </si>
  <si>
    <t>A-0031</t>
  </si>
  <si>
    <t>A-0032</t>
  </si>
  <si>
    <t>A-0033</t>
  </si>
  <si>
    <t>A-0034</t>
  </si>
  <si>
    <t>A-0035</t>
  </si>
  <si>
    <t>A-0036</t>
  </si>
  <si>
    <t>A-0037</t>
  </si>
  <si>
    <t>A-0038</t>
  </si>
  <si>
    <t>A-0039</t>
  </si>
  <si>
    <t>A-0040</t>
  </si>
  <si>
    <t>A-0041</t>
  </si>
  <si>
    <t>A-0042</t>
  </si>
  <si>
    <t>A-0043</t>
  </si>
  <si>
    <t>A-0044</t>
  </si>
  <si>
    <t>A-0045</t>
  </si>
  <si>
    <t>A-0046</t>
  </si>
  <si>
    <t>A-0047</t>
  </si>
  <si>
    <t>A-0048</t>
  </si>
  <si>
    <t>A-0049</t>
  </si>
  <si>
    <t>A-0050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</si>
</sst>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u/>
      <sz val="11.0"/>
      <color rgb="FF0000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74151"/>
        <bgColor rgb="FF374151"/>
      </patternFill>
    </fill>
    <fill>
      <patternFill patternType="solid">
        <fgColor rgb="FFF3F4F6"/>
        <bgColor rgb="FFF3F4F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1" fillId="3" fontId="3" numFmtId="0" xfId="0" applyBorder="1" applyFill="1" applyFont="1"/>
    <xf borderId="1" fillId="3" fontId="3" numFmtId="14" xfId="0" applyBorder="1" applyFill="1" applyFont="1" applyNumberFormat="1"/>
    <xf borderId="0" fillId="0" fontId="1" numFmtId="14" xfId="0" applyFont="1" applyNumberFormat="1"/>
    <xf borderId="1" fillId="3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2" t="s">
        <v>1</v>
      </c>
      <c r="B1" s="2" t="s">
        <v>5</v>
      </c>
      <c r="C1" s="2" t="s">
        <v>7</v>
      </c>
      <c r="D1" s="2" t="s">
        <v>9</v>
      </c>
      <c r="E1" s="2" t="s">
        <v>11</v>
      </c>
    </row>
    <row r="2">
      <c r="A2" s="1" t="s">
        <v>14</v>
      </c>
      <c r="B2" s="1">
        <f>1+1</f>
        <v>2</v>
      </c>
      <c r="C2" s="1">
        <f t="shared" ref="C2:C690" si="1">TYPE(B2)</f>
        <v>1</v>
      </c>
      <c r="D2" s="1" t="str">
        <f t="shared" ref="D2:D690" si="2">IFERROR(_xlfn.ERROR.TYPE(B2),"")</f>
        <v/>
      </c>
      <c r="E2" s="1">
        <f t="shared" ref="E2:E690" si="3">LEN(B2&amp;"")</f>
        <v>1</v>
      </c>
    </row>
    <row r="3">
      <c r="A3" s="3" t="s">
        <v>29</v>
      </c>
      <c r="B3" s="3">
        <f>0.1+0.2</f>
        <v>0.3</v>
      </c>
      <c r="C3" s="3">
        <f t="shared" si="1"/>
        <v>1</v>
      </c>
      <c r="D3" s="3" t="str">
        <f t="shared" si="2"/>
        <v/>
      </c>
      <c r="E3" s="3">
        <f t="shared" si="3"/>
        <v>3</v>
      </c>
    </row>
    <row r="4">
      <c r="A4" s="1" t="s">
        <v>32</v>
      </c>
      <c r="B4" s="1">
        <f>-2^2</f>
        <v>4</v>
      </c>
      <c r="C4" s="1">
        <f t="shared" si="1"/>
        <v>1</v>
      </c>
      <c r="D4" s="1" t="str">
        <f t="shared" si="2"/>
        <v/>
      </c>
      <c r="E4" s="1">
        <f t="shared" si="3"/>
        <v>1</v>
      </c>
    </row>
    <row r="5">
      <c r="A5" s="3" t="s">
        <v>38</v>
      </c>
      <c r="B5" s="3">
        <f>0-2^2</f>
        <v>-4</v>
      </c>
      <c r="C5" s="3">
        <f t="shared" si="1"/>
        <v>1</v>
      </c>
      <c r="D5" s="3" t="str">
        <f t="shared" si="2"/>
        <v/>
      </c>
      <c r="E5" s="3">
        <f t="shared" si="3"/>
        <v>2</v>
      </c>
    </row>
    <row r="6">
      <c r="A6" s="1" t="s">
        <v>39</v>
      </c>
      <c r="B6" s="1">
        <f>2^3^2</f>
        <v>512</v>
      </c>
      <c r="C6" s="1">
        <f t="shared" si="1"/>
        <v>1</v>
      </c>
      <c r="D6" s="1" t="str">
        <f t="shared" si="2"/>
        <v/>
      </c>
      <c r="E6" s="1">
        <f t="shared" si="3"/>
        <v>3</v>
      </c>
    </row>
    <row r="7">
      <c r="A7" s="3" t="s">
        <v>40</v>
      </c>
      <c r="B7" s="3" t="str">
        <f>-2^0.5</f>
        <v>#NUM!</v>
      </c>
      <c r="C7" s="3">
        <f t="shared" si="1"/>
        <v>16</v>
      </c>
      <c r="D7" s="3">
        <f t="shared" si="2"/>
        <v>6</v>
      </c>
      <c r="E7" s="3" t="str">
        <f t="shared" si="3"/>
        <v>#NUM!</v>
      </c>
    </row>
    <row r="8">
      <c r="A8" s="1" t="s">
        <v>41</v>
      </c>
      <c r="B8" s="1">
        <f>50%</f>
        <v>0.5</v>
      </c>
      <c r="C8" s="1">
        <f t="shared" si="1"/>
        <v>1</v>
      </c>
      <c r="D8" s="1" t="str">
        <f t="shared" si="2"/>
        <v/>
      </c>
      <c r="E8" s="1">
        <f t="shared" si="3"/>
        <v>3</v>
      </c>
    </row>
    <row r="9">
      <c r="A9" s="3" t="s">
        <v>42</v>
      </c>
      <c r="B9" s="3">
        <f>2*50%</f>
        <v>1</v>
      </c>
      <c r="C9" s="3">
        <f t="shared" si="1"/>
        <v>1</v>
      </c>
      <c r="D9" s="3" t="str">
        <f t="shared" si="2"/>
        <v/>
      </c>
      <c r="E9" s="3">
        <f t="shared" si="3"/>
        <v>1</v>
      </c>
    </row>
    <row r="10">
      <c r="A10" s="1" t="s">
        <v>43</v>
      </c>
      <c r="B10" s="1">
        <f>2^50%</f>
        <v>1.414213562</v>
      </c>
      <c r="C10" s="1">
        <f t="shared" si="1"/>
        <v>1</v>
      </c>
      <c r="D10" s="1" t="str">
        <f t="shared" si="2"/>
        <v/>
      </c>
      <c r="E10" s="1">
        <f t="shared" si="3"/>
        <v>15</v>
      </c>
    </row>
    <row r="11">
      <c r="A11" s="3" t="s">
        <v>44</v>
      </c>
      <c r="B11" s="3">
        <f>-50%</f>
        <v>-0.5</v>
      </c>
      <c r="C11" s="3">
        <f t="shared" si="1"/>
        <v>1</v>
      </c>
      <c r="D11" s="3" t="str">
        <f t="shared" si="2"/>
        <v/>
      </c>
      <c r="E11" s="3">
        <f t="shared" si="3"/>
        <v>4</v>
      </c>
    </row>
    <row r="12">
      <c r="A12" s="1" t="s">
        <v>45</v>
      </c>
      <c r="B12" s="1" t="str">
        <f>10%%</f>
        <v>#ERROR!</v>
      </c>
      <c r="C12" s="1">
        <f t="shared" si="1"/>
        <v>16</v>
      </c>
      <c r="D12" s="1">
        <f t="shared" si="2"/>
        <v>8</v>
      </c>
      <c r="E12" s="1" t="str">
        <f t="shared" si="3"/>
        <v>#ERROR!</v>
      </c>
    </row>
    <row r="13">
      <c r="A13" s="3" t="s">
        <v>46</v>
      </c>
      <c r="B13" s="3">
        <f>1+2*3</f>
        <v>7</v>
      </c>
      <c r="C13" s="3">
        <f t="shared" si="1"/>
        <v>1</v>
      </c>
      <c r="D13" s="3" t="str">
        <f t="shared" si="2"/>
        <v/>
      </c>
      <c r="E13" s="3">
        <f t="shared" si="3"/>
        <v>1</v>
      </c>
    </row>
    <row r="14">
      <c r="A14" s="1" t="s">
        <v>47</v>
      </c>
      <c r="B14" s="1">
        <f>(1+2)*3</f>
        <v>9</v>
      </c>
      <c r="C14" s="1">
        <f t="shared" si="1"/>
        <v>1</v>
      </c>
      <c r="D14" s="1" t="str">
        <f t="shared" si="2"/>
        <v/>
      </c>
      <c r="E14" s="1">
        <f t="shared" si="3"/>
        <v>1</v>
      </c>
    </row>
    <row r="15">
      <c r="A15" s="3" t="s">
        <v>48</v>
      </c>
      <c r="B15" s="3" t="str">
        <f>"a"&amp;1+2</f>
        <v>a3</v>
      </c>
      <c r="C15" s="3">
        <f t="shared" si="1"/>
        <v>2</v>
      </c>
      <c r="D15" s="3" t="str">
        <f t="shared" si="2"/>
        <v/>
      </c>
      <c r="E15" s="3">
        <f t="shared" si="3"/>
        <v>2</v>
      </c>
    </row>
    <row r="16">
      <c r="A16" s="1" t="s">
        <v>49</v>
      </c>
      <c r="B16" s="1" t="b">
        <f>1&amp;2=12</f>
        <v>0</v>
      </c>
      <c r="C16" s="1">
        <f t="shared" si="1"/>
        <v>4</v>
      </c>
      <c r="D16" s="1" t="str">
        <f t="shared" si="2"/>
        <v/>
      </c>
      <c r="E16" s="1">
        <f t="shared" si="3"/>
        <v>5</v>
      </c>
    </row>
    <row r="17">
      <c r="A17" s="3" t="s">
        <v>50</v>
      </c>
      <c r="B17" s="3" t="b">
        <f>1=1=TRUE</f>
        <v>1</v>
      </c>
      <c r="C17" s="3">
        <f t="shared" si="1"/>
        <v>4</v>
      </c>
      <c r="D17" s="3" t="str">
        <f t="shared" si="2"/>
        <v/>
      </c>
      <c r="E17" s="3">
        <f t="shared" si="3"/>
        <v>4</v>
      </c>
    </row>
    <row r="18">
      <c r="A18" s="1" t="s">
        <v>51</v>
      </c>
      <c r="B18" s="1">
        <f>--"3"</f>
        <v>3</v>
      </c>
      <c r="C18" s="1">
        <f t="shared" si="1"/>
        <v>1</v>
      </c>
      <c r="D18" s="1" t="str">
        <f t="shared" si="2"/>
        <v/>
      </c>
      <c r="E18" s="1">
        <f t="shared" si="3"/>
        <v>1</v>
      </c>
    </row>
    <row r="19">
      <c r="A19" s="3" t="s">
        <v>52</v>
      </c>
      <c r="B19" s="3" t="str">
        <f>+"3"</f>
        <v>3</v>
      </c>
      <c r="C19" s="3">
        <f t="shared" si="1"/>
        <v>2</v>
      </c>
      <c r="D19" s="3" t="str">
        <f t="shared" si="2"/>
        <v/>
      </c>
      <c r="E19" s="3">
        <f t="shared" si="3"/>
        <v>1</v>
      </c>
    </row>
    <row r="20">
      <c r="A20" s="1" t="s">
        <v>53</v>
      </c>
      <c r="B20" s="1" t="str">
        <f>"say ""hi"""</f>
        <v>say "hi"</v>
      </c>
      <c r="C20" s="1">
        <f t="shared" si="1"/>
        <v>2</v>
      </c>
      <c r="D20" s="1" t="str">
        <f t="shared" si="2"/>
        <v/>
      </c>
      <c r="E20" s="1">
        <f t="shared" si="3"/>
        <v>8</v>
      </c>
    </row>
    <row r="21" ht="15.75" customHeight="1">
      <c r="A21" s="3" t="s">
        <v>54</v>
      </c>
      <c r="B21" s="3">
        <f>0.5+100</f>
        <v>100.5</v>
      </c>
      <c r="C21" s="3">
        <f t="shared" si="1"/>
        <v>1</v>
      </c>
      <c r="D21" s="3" t="str">
        <f t="shared" si="2"/>
        <v/>
      </c>
      <c r="E21" s="3">
        <f t="shared" si="3"/>
        <v>5</v>
      </c>
    </row>
    <row r="22" ht="15.75" customHeight="1">
      <c r="A22" s="1" t="s">
        <v>55</v>
      </c>
      <c r="B22" s="1">
        <f>0.001*1000</f>
        <v>1</v>
      </c>
      <c r="C22" s="1">
        <f t="shared" si="1"/>
        <v>1</v>
      </c>
      <c r="D22" s="1" t="str">
        <f t="shared" si="2"/>
        <v/>
      </c>
      <c r="E22" s="1">
        <f t="shared" si="3"/>
        <v>1</v>
      </c>
    </row>
    <row r="23" ht="15.75" customHeight="1">
      <c r="A23" s="3" t="s">
        <v>56</v>
      </c>
      <c r="B23" s="3">
        <f t="array" ref="B23">SUM({1,2;3,4})</f>
        <v>10</v>
      </c>
      <c r="C23" s="3">
        <f t="shared" si="1"/>
        <v>1</v>
      </c>
      <c r="D23" s="3" t="str">
        <f t="shared" si="2"/>
        <v/>
      </c>
      <c r="E23" s="3">
        <f t="shared" si="3"/>
        <v>2</v>
      </c>
    </row>
    <row r="24" ht="15.75" customHeight="1">
      <c r="A24" s="1" t="s">
        <v>57</v>
      </c>
      <c r="B24" s="1">
        <f t="array" ref="B24">ROWS({1,2;3,4})</f>
        <v>2</v>
      </c>
      <c r="C24" s="1">
        <f t="shared" si="1"/>
        <v>1</v>
      </c>
      <c r="D24" s="1" t="str">
        <f t="shared" si="2"/>
        <v/>
      </c>
      <c r="E24" s="1">
        <f t="shared" si="3"/>
        <v>1</v>
      </c>
    </row>
    <row r="25" ht="15.75" customHeight="1">
      <c r="A25" s="3" t="s">
        <v>58</v>
      </c>
      <c r="B25" s="3">
        <f t="array" ref="B25">COLUMNS({1,2,3})</f>
        <v>3</v>
      </c>
      <c r="C25" s="3">
        <f t="shared" si="1"/>
        <v>1</v>
      </c>
      <c r="D25" s="3" t="str">
        <f t="shared" si="2"/>
        <v/>
      </c>
      <c r="E25" s="3">
        <f t="shared" si="3"/>
        <v>1</v>
      </c>
    </row>
    <row r="26" ht="15.75" customHeight="1">
      <c r="A26" s="1" t="s">
        <v>59</v>
      </c>
      <c r="B26" s="1">
        <f t="array" ref="B26">SUM({1,2}*{3,4})</f>
        <v>3</v>
      </c>
      <c r="C26" s="1">
        <f t="shared" si="1"/>
        <v>1</v>
      </c>
      <c r="D26" s="1" t="str">
        <f t="shared" si="2"/>
        <v/>
      </c>
      <c r="E26" s="1">
        <f t="shared" si="3"/>
        <v>1</v>
      </c>
    </row>
    <row r="27" ht="15.75" customHeight="1">
      <c r="A27" s="3" t="s">
        <v>60</v>
      </c>
      <c r="B27" s="3">
        <f>sum(1,2)</f>
        <v>3</v>
      </c>
      <c r="C27" s="3">
        <f t="shared" si="1"/>
        <v>1</v>
      </c>
      <c r="D27" s="3" t="str">
        <f t="shared" si="2"/>
        <v/>
      </c>
      <c r="E27" s="3">
        <f t="shared" si="3"/>
        <v>1</v>
      </c>
    </row>
    <row r="28" ht="15.75" customHeight="1">
      <c r="A28" s="1" t="s">
        <v>61</v>
      </c>
      <c r="B28" s="1">
        <f>SUM(Inputs!B1:B5)</f>
        <v>15</v>
      </c>
      <c r="C28" s="1">
        <f t="shared" si="1"/>
        <v>1</v>
      </c>
      <c r="D28" s="1" t="str">
        <f t="shared" si="2"/>
        <v/>
      </c>
      <c r="E28" s="1">
        <f t="shared" si="3"/>
        <v>2</v>
      </c>
    </row>
    <row r="29" ht="15.75" customHeight="1">
      <c r="A29" s="3" t="s">
        <v>62</v>
      </c>
      <c r="B29" s="3">
        <f>SUM(Inputs!$B$1:$B$5)</f>
        <v>15</v>
      </c>
      <c r="C29" s="3">
        <f t="shared" si="1"/>
        <v>1</v>
      </c>
      <c r="D29" s="3" t="str">
        <f t="shared" si="2"/>
        <v/>
      </c>
      <c r="E29" s="3">
        <f t="shared" si="3"/>
        <v>2</v>
      </c>
    </row>
    <row r="30" ht="15.75" customHeight="1">
      <c r="A30" s="1" t="s">
        <v>63</v>
      </c>
      <c r="B30" s="1">
        <f>SUM(Inputs!B:B)</f>
        <v>15</v>
      </c>
      <c r="C30" s="1">
        <f t="shared" si="1"/>
        <v>1</v>
      </c>
      <c r="D30" s="1" t="str">
        <f t="shared" si="2"/>
        <v/>
      </c>
      <c r="E30" s="1">
        <f t="shared" si="3"/>
        <v>2</v>
      </c>
    </row>
    <row r="31" ht="15.75" customHeight="1">
      <c r="A31" s="3" t="s">
        <v>64</v>
      </c>
      <c r="B31" s="3">
        <f t="array" ref="B31">INDEX({10,20;30,40},2,1)</f>
        <v>30</v>
      </c>
      <c r="C31" s="3">
        <f t="shared" si="1"/>
        <v>1</v>
      </c>
      <c r="D31" s="3" t="str">
        <f t="shared" si="2"/>
        <v/>
      </c>
      <c r="E31" s="3">
        <f t="shared" si="3"/>
        <v>2</v>
      </c>
    </row>
    <row r="32" ht="15.75" customHeight="1">
      <c r="A32" s="1" t="s">
        <v>65</v>
      </c>
      <c r="B32" s="1">
        <f t="array" ref="B32">SUM({Inputs!B1,Inputs!B2})</f>
        <v>3</v>
      </c>
      <c r="C32" s="1">
        <f t="shared" si="1"/>
        <v>1</v>
      </c>
      <c r="D32" s="1" t="str">
        <f t="shared" si="2"/>
        <v/>
      </c>
      <c r="E32" s="1">
        <f t="shared" si="3"/>
        <v>1</v>
      </c>
    </row>
    <row r="33" ht="15.75" customHeight="1">
      <c r="A33" s="3" t="s">
        <v>66</v>
      </c>
      <c r="B33" s="3">
        <f>_xlfn.ERROR.TYPE(#NULL!)</f>
        <v>1</v>
      </c>
      <c r="C33" s="3">
        <f t="shared" si="1"/>
        <v>1</v>
      </c>
      <c r="D33" s="3" t="str">
        <f t="shared" si="2"/>
        <v/>
      </c>
      <c r="E33" s="3">
        <f t="shared" si="3"/>
        <v>1</v>
      </c>
    </row>
    <row r="34" ht="15.75" customHeight="1">
      <c r="A34" s="1" t="s">
        <v>67</v>
      </c>
      <c r="B34" s="1">
        <f>_xlfn.ERROR.TYPE(#ERROR!)</f>
        <v>8</v>
      </c>
      <c r="C34" s="1">
        <f t="shared" si="1"/>
        <v>1</v>
      </c>
      <c r="D34" s="1" t="str">
        <f t="shared" si="2"/>
        <v/>
      </c>
      <c r="E34" s="1">
        <f t="shared" si="3"/>
        <v>1</v>
      </c>
    </row>
    <row r="35" ht="15.75" customHeight="1">
      <c r="A35" s="3" t="s">
        <v>68</v>
      </c>
      <c r="B35" s="3">
        <f>_xlfn.ERROR.TYPE(#N/A)</f>
        <v>7</v>
      </c>
      <c r="C35" s="3">
        <f t="shared" si="1"/>
        <v>1</v>
      </c>
      <c r="D35" s="3" t="str">
        <f t="shared" si="2"/>
        <v/>
      </c>
      <c r="E35" s="3">
        <f t="shared" si="3"/>
        <v>1</v>
      </c>
    </row>
    <row r="36" ht="15.75" customHeight="1">
      <c r="A36" s="1" t="s">
        <v>69</v>
      </c>
      <c r="B36" s="1" t="str">
        <f>1/0</f>
        <v>#DIV/0!</v>
      </c>
      <c r="C36" s="1">
        <f t="shared" si="1"/>
        <v>16</v>
      </c>
      <c r="D36" s="1">
        <f t="shared" si="2"/>
        <v>2</v>
      </c>
      <c r="E36" s="1" t="str">
        <f t="shared" si="3"/>
        <v>#DIV/0!</v>
      </c>
    </row>
    <row r="37" ht="15.75" customHeight="1">
      <c r="A37" s="3" t="s">
        <v>70</v>
      </c>
      <c r="B37" s="3">
        <f>TRUE+TRUE</f>
        <v>2</v>
      </c>
      <c r="C37" s="3">
        <f t="shared" si="1"/>
        <v>1</v>
      </c>
      <c r="D37" s="3" t="str">
        <f t="shared" si="2"/>
        <v/>
      </c>
      <c r="E37" s="3">
        <f t="shared" si="3"/>
        <v>1</v>
      </c>
    </row>
    <row r="38" ht="15.75" customHeight="1">
      <c r="A38" s="1" t="s">
        <v>71</v>
      </c>
      <c r="B38" s="1">
        <f>2^-1</f>
        <v>0.5</v>
      </c>
      <c r="C38" s="1">
        <f t="shared" si="1"/>
        <v>1</v>
      </c>
      <c r="D38" s="1" t="str">
        <f t="shared" si="2"/>
        <v/>
      </c>
      <c r="E38" s="1">
        <f t="shared" si="3"/>
        <v>3</v>
      </c>
    </row>
    <row r="39" ht="15.75" customHeight="1">
      <c r="A39" s="3" t="s">
        <v>72</v>
      </c>
      <c r="B39" s="3">
        <f>-(-3)</f>
        <v>3</v>
      </c>
      <c r="C39" s="3">
        <f t="shared" si="1"/>
        <v>1</v>
      </c>
      <c r="D39" s="3" t="str">
        <f t="shared" si="2"/>
        <v/>
      </c>
      <c r="E39" s="3">
        <f t="shared" si="3"/>
        <v>1</v>
      </c>
    </row>
    <row r="40" ht="15.75" customHeight="1">
      <c r="A40" s="1" t="s">
        <v>73</v>
      </c>
      <c r="B40" s="1">
        <f>3-(-2)</f>
        <v>5</v>
      </c>
      <c r="C40" s="1">
        <f t="shared" si="1"/>
        <v>1</v>
      </c>
      <c r="D40" s="1" t="str">
        <f t="shared" si="2"/>
        <v/>
      </c>
      <c r="E40" s="1">
        <f t="shared" si="3"/>
        <v>1</v>
      </c>
    </row>
    <row r="41" ht="15.75" customHeight="1">
      <c r="A41" s="3" t="s">
        <v>74</v>
      </c>
      <c r="B41" s="3" t="b">
        <f>1&lt;&gt;2</f>
        <v>1</v>
      </c>
      <c r="C41" s="3">
        <f t="shared" si="1"/>
        <v>4</v>
      </c>
      <c r="D41" s="3" t="str">
        <f t="shared" si="2"/>
        <v/>
      </c>
      <c r="E41" s="3">
        <f t="shared" si="3"/>
        <v>4</v>
      </c>
    </row>
    <row r="42" ht="15.75" customHeight="1">
      <c r="A42" s="1" t="s">
        <v>75</v>
      </c>
      <c r="B42" s="1" t="str">
        <f>-"abc"</f>
        <v>#VALUE!</v>
      </c>
      <c r="C42" s="1">
        <f t="shared" si="1"/>
        <v>16</v>
      </c>
      <c r="D42" s="1">
        <f t="shared" si="2"/>
        <v>3</v>
      </c>
      <c r="E42" s="1" t="str">
        <f t="shared" si="3"/>
        <v>#VALUE!</v>
      </c>
    </row>
    <row r="43" ht="15.75" customHeight="1">
      <c r="A43" s="3" t="s">
        <v>76</v>
      </c>
      <c r="B43" s="3">
        <f>(((((((((1)))))))))</f>
        <v>1</v>
      </c>
      <c r="C43" s="3">
        <f t="shared" si="1"/>
        <v>1</v>
      </c>
      <c r="D43" s="3" t="str">
        <f t="shared" si="2"/>
        <v/>
      </c>
      <c r="E43" s="3">
        <f t="shared" si="3"/>
        <v>1</v>
      </c>
    </row>
    <row r="44" ht="15.75" customHeight="1">
      <c r="A44" s="1" t="s">
        <v>77</v>
      </c>
      <c r="B44" s="1" t="str">
        <f>IF(TRUE,"yes")&amp;""</f>
        <v>yes</v>
      </c>
      <c r="C44" s="1">
        <f t="shared" si="1"/>
        <v>2</v>
      </c>
      <c r="D44" s="1" t="str">
        <f t="shared" si="2"/>
        <v/>
      </c>
      <c r="E44" s="1">
        <f t="shared" si="3"/>
        <v>3</v>
      </c>
    </row>
    <row r="45" ht="15.75" customHeight="1">
      <c r="A45" s="3" t="s">
        <v>78</v>
      </c>
      <c r="B45" s="3">
        <f>SUM(1,,2)</f>
        <v>3</v>
      </c>
      <c r="C45" s="3">
        <f t="shared" si="1"/>
        <v>1</v>
      </c>
      <c r="D45" s="3" t="str">
        <f t="shared" si="2"/>
        <v/>
      </c>
      <c r="E45" s="3">
        <f t="shared" si="3"/>
        <v>1</v>
      </c>
    </row>
    <row r="46" ht="15.75" customHeight="1">
      <c r="A46" s="1" t="s">
        <v>79</v>
      </c>
      <c r="B46" s="1">
        <f>1+"2"</f>
        <v>3</v>
      </c>
      <c r="C46" s="1">
        <f t="shared" si="1"/>
        <v>1</v>
      </c>
      <c r="D46" s="1" t="str">
        <f t="shared" si="2"/>
        <v/>
      </c>
      <c r="E46" s="1">
        <f t="shared" si="3"/>
        <v>1</v>
      </c>
    </row>
    <row r="47" ht="15.75" customHeight="1">
      <c r="A47" s="3" t="s">
        <v>80</v>
      </c>
      <c r="B47" s="3">
        <f>1+"5%"</f>
        <v>1.05</v>
      </c>
      <c r="C47" s="3">
        <f t="shared" si="1"/>
        <v>1</v>
      </c>
      <c r="D47" s="3" t="str">
        <f t="shared" si="2"/>
        <v/>
      </c>
      <c r="E47" s="3">
        <f t="shared" si="3"/>
        <v>4</v>
      </c>
    </row>
    <row r="48" ht="15.75" customHeight="1">
      <c r="A48" s="1" t="s">
        <v>81</v>
      </c>
      <c r="B48" s="1">
        <f>1+"2026-10-27"</f>
        <v>46323</v>
      </c>
      <c r="C48" s="1">
        <f t="shared" si="1"/>
        <v>1</v>
      </c>
      <c r="D48" s="1" t="str">
        <f t="shared" si="2"/>
        <v/>
      </c>
      <c r="E48" s="1">
        <f t="shared" si="3"/>
        <v>5</v>
      </c>
    </row>
    <row r="49" ht="15.75" customHeight="1">
      <c r="A49" s="3" t="s">
        <v>82</v>
      </c>
      <c r="B49" s="3" t="str">
        <f>1+"abc"</f>
        <v>#VALUE!</v>
      </c>
      <c r="C49" s="3">
        <f t="shared" si="1"/>
        <v>16</v>
      </c>
      <c r="D49" s="3">
        <f t="shared" si="2"/>
        <v>3</v>
      </c>
      <c r="E49" s="3" t="str">
        <f t="shared" si="3"/>
        <v>#VALUE!</v>
      </c>
    </row>
    <row r="50" ht="15.75" customHeight="1">
      <c r="A50" s="1" t="s">
        <v>83</v>
      </c>
      <c r="B50" s="1">
        <f>1+TRUE</f>
        <v>2</v>
      </c>
      <c r="C50" s="1">
        <f t="shared" si="1"/>
        <v>1</v>
      </c>
      <c r="D50" s="1" t="str">
        <f t="shared" si="2"/>
        <v/>
      </c>
      <c r="E50" s="1">
        <f t="shared" si="3"/>
        <v>1</v>
      </c>
    </row>
    <row r="51" ht="15.75" customHeight="1">
      <c r="A51" s="3" t="s">
        <v>84</v>
      </c>
      <c r="B51" s="3">
        <f>1+Inputs!O1</f>
        <v>1</v>
      </c>
      <c r="C51" s="3">
        <f t="shared" si="1"/>
        <v>1</v>
      </c>
      <c r="D51" s="3" t="str">
        <f t="shared" si="2"/>
        <v/>
      </c>
      <c r="E51" s="3">
        <f t="shared" si="3"/>
        <v>1</v>
      </c>
    </row>
    <row r="52" ht="15.75" customHeight="1">
      <c r="A52" s="1" t="s">
        <v>85</v>
      </c>
      <c r="B52" s="1" t="str">
        <f>1+NA()</f>
        <v>#N/A</v>
      </c>
      <c r="C52" s="1">
        <f t="shared" si="1"/>
        <v>16</v>
      </c>
      <c r="D52" s="1">
        <f t="shared" si="2"/>
        <v>7</v>
      </c>
      <c r="E52" s="1" t="str">
        <f t="shared" si="3"/>
        <v>#N/A</v>
      </c>
    </row>
    <row r="53" ht="15.75" customHeight="1">
      <c r="A53" s="3" t="s">
        <v>86</v>
      </c>
      <c r="B53" s="3">
        <f>1+" 2 "</f>
        <v>3</v>
      </c>
      <c r="C53" s="3">
        <f t="shared" si="1"/>
        <v>1</v>
      </c>
      <c r="D53" s="3" t="str">
        <f t="shared" si="2"/>
        <v/>
      </c>
      <c r="E53" s="3">
        <f t="shared" si="3"/>
        <v>1</v>
      </c>
    </row>
    <row r="54" ht="15.75" customHeight="1">
      <c r="A54" s="1" t="s">
        <v>87</v>
      </c>
      <c r="B54" s="1">
        <f>1+"1e3"</f>
        <v>1001</v>
      </c>
      <c r="C54" s="1">
        <f t="shared" si="1"/>
        <v>1</v>
      </c>
      <c r="D54" s="1" t="str">
        <f t="shared" si="2"/>
        <v/>
      </c>
      <c r="E54" s="1">
        <f t="shared" si="3"/>
        <v>4</v>
      </c>
    </row>
    <row r="55" ht="15.75" customHeight="1">
      <c r="A55" s="3" t="s">
        <v>88</v>
      </c>
      <c r="B55" s="3">
        <f>1+"$5"</f>
        <v>6</v>
      </c>
      <c r="C55" s="3">
        <f t="shared" si="1"/>
        <v>1</v>
      </c>
      <c r="D55" s="3" t="str">
        <f t="shared" si="2"/>
        <v/>
      </c>
      <c r="E55" s="3">
        <f t="shared" si="3"/>
        <v>1</v>
      </c>
    </row>
    <row r="56" ht="15.75" customHeight="1">
      <c r="A56" s="1" t="s">
        <v>89</v>
      </c>
      <c r="B56" s="1">
        <f>1+"1,000"</f>
        <v>1001</v>
      </c>
      <c r="C56" s="1">
        <f t="shared" si="1"/>
        <v>1</v>
      </c>
      <c r="D56" s="1" t="str">
        <f t="shared" si="2"/>
        <v/>
      </c>
      <c r="E56" s="1">
        <f t="shared" si="3"/>
        <v>4</v>
      </c>
    </row>
    <row r="57" ht="15.75" customHeight="1">
      <c r="A57" s="3" t="s">
        <v>90</v>
      </c>
      <c r="B57" s="3">
        <f>1+"(5)"</f>
        <v>-4</v>
      </c>
      <c r="C57" s="3">
        <f t="shared" si="1"/>
        <v>1</v>
      </c>
      <c r="D57" s="3" t="str">
        <f t="shared" si="2"/>
        <v/>
      </c>
      <c r="E57" s="3">
        <f t="shared" si="3"/>
        <v>2</v>
      </c>
    </row>
    <row r="58" ht="15.75" customHeight="1">
      <c r="A58" s="1" t="s">
        <v>91</v>
      </c>
      <c r="B58" s="1">
        <f>1+""</f>
        <v>1</v>
      </c>
      <c r="C58" s="1">
        <f t="shared" si="1"/>
        <v>1</v>
      </c>
      <c r="D58" s="1" t="str">
        <f t="shared" si="2"/>
        <v/>
      </c>
      <c r="E58" s="1">
        <f t="shared" si="3"/>
        <v>1</v>
      </c>
    </row>
    <row r="59" ht="15.75" customHeight="1">
      <c r="A59" s="3" t="s">
        <v>92</v>
      </c>
      <c r="B59" s="3">
        <f>1+Inputs!A2</f>
        <v>21</v>
      </c>
      <c r="C59" s="3">
        <f t="shared" si="1"/>
        <v>1</v>
      </c>
      <c r="D59" s="3" t="str">
        <f t="shared" si="2"/>
        <v/>
      </c>
      <c r="E59" s="3">
        <f t="shared" si="3"/>
        <v>2</v>
      </c>
    </row>
    <row r="60" ht="15.75" customHeight="1">
      <c r="A60" s="1" t="s">
        <v>93</v>
      </c>
      <c r="B60" s="1" t="str">
        <f>1/3&amp;""</f>
        <v>0.333333333333333</v>
      </c>
      <c r="C60" s="1">
        <f t="shared" si="1"/>
        <v>2</v>
      </c>
      <c r="D60" s="1" t="str">
        <f t="shared" si="2"/>
        <v/>
      </c>
      <c r="E60" s="1">
        <f t="shared" si="3"/>
        <v>17</v>
      </c>
    </row>
    <row r="61" ht="15.75" customHeight="1">
      <c r="A61" s="3" t="s">
        <v>94</v>
      </c>
      <c r="B61" s="3" t="str">
        <f>TRUE&amp;""</f>
        <v>TRUE</v>
      </c>
      <c r="C61" s="3">
        <f t="shared" si="1"/>
        <v>2</v>
      </c>
      <c r="D61" s="3" t="str">
        <f t="shared" si="2"/>
        <v/>
      </c>
      <c r="E61" s="3">
        <f t="shared" si="3"/>
        <v>4</v>
      </c>
    </row>
    <row r="62" ht="15.75" customHeight="1">
      <c r="A62" s="1" t="s">
        <v>95</v>
      </c>
      <c r="B62" s="1" t="str">
        <f>Inputs!O1&amp;"x"</f>
        <v>x</v>
      </c>
      <c r="C62" s="1">
        <f t="shared" si="1"/>
        <v>2</v>
      </c>
      <c r="D62" s="1" t="str">
        <f t="shared" si="2"/>
        <v/>
      </c>
      <c r="E62" s="1">
        <f t="shared" si="3"/>
        <v>1</v>
      </c>
    </row>
    <row r="63" ht="15.75" customHeight="1">
      <c r="A63" s="3" t="s">
        <v>96</v>
      </c>
      <c r="B63" s="3" t="str">
        <f>NA()&amp;"x"</f>
        <v>#N/A</v>
      </c>
      <c r="C63" s="3">
        <f t="shared" si="1"/>
        <v>16</v>
      </c>
      <c r="D63" s="3">
        <f t="shared" si="2"/>
        <v>7</v>
      </c>
      <c r="E63" s="3" t="str">
        <f t="shared" si="3"/>
        <v>#N/A</v>
      </c>
    </row>
    <row r="64" ht="15.75" customHeight="1">
      <c r="A64" s="1" t="s">
        <v>97</v>
      </c>
      <c r="B64" s="1" t="str">
        <f>123456789012345000&amp;""</f>
        <v>123456789012345000</v>
      </c>
      <c r="C64" s="1">
        <f t="shared" si="1"/>
        <v>2</v>
      </c>
      <c r="D64" s="1" t="str">
        <f t="shared" si="2"/>
        <v/>
      </c>
      <c r="E64" s="1">
        <f t="shared" si="3"/>
        <v>18</v>
      </c>
    </row>
    <row r="65" ht="15.75" customHeight="1">
      <c r="A65" s="3" t="s">
        <v>98</v>
      </c>
      <c r="B65" s="3" t="str">
        <f>100000000000000000000&amp;""</f>
        <v>100000000000000000000</v>
      </c>
      <c r="C65" s="3">
        <f t="shared" si="1"/>
        <v>2</v>
      </c>
      <c r="D65" s="3" t="str">
        <f t="shared" si="2"/>
        <v/>
      </c>
      <c r="E65" s="3">
        <f t="shared" si="3"/>
        <v>21</v>
      </c>
    </row>
    <row r="66" ht="15.75" customHeight="1">
      <c r="A66" s="1" t="s">
        <v>99</v>
      </c>
      <c r="B66" s="1" t="str">
        <f>0.0000001&amp;""</f>
        <v>0.0000001</v>
      </c>
      <c r="C66" s="1">
        <f t="shared" si="1"/>
        <v>2</v>
      </c>
      <c r="D66" s="1" t="str">
        <f t="shared" si="2"/>
        <v/>
      </c>
      <c r="E66" s="1">
        <f t="shared" si="3"/>
        <v>9</v>
      </c>
    </row>
    <row r="67" ht="15.75" customHeight="1">
      <c r="A67" s="3" t="s">
        <v>100</v>
      </c>
      <c r="B67" s="3" t="str">
        <f>DATE(2026,10,27)&amp;""</f>
        <v>46322</v>
      </c>
      <c r="C67" s="3">
        <f t="shared" si="1"/>
        <v>2</v>
      </c>
      <c r="D67" s="3" t="str">
        <f t="shared" si="2"/>
        <v/>
      </c>
      <c r="E67" s="3">
        <f t="shared" si="3"/>
        <v>5</v>
      </c>
    </row>
    <row r="68" ht="15.75" customHeight="1">
      <c r="A68" s="1" t="s">
        <v>101</v>
      </c>
      <c r="B68" s="1" t="str">
        <f>-0&amp;""</f>
        <v>0</v>
      </c>
      <c r="C68" s="1">
        <f t="shared" si="1"/>
        <v>2</v>
      </c>
      <c r="D68" s="1" t="str">
        <f t="shared" si="2"/>
        <v/>
      </c>
      <c r="E68" s="1">
        <f t="shared" si="3"/>
        <v>1</v>
      </c>
    </row>
    <row r="69" ht="15.75" customHeight="1">
      <c r="A69" s="3" t="s">
        <v>102</v>
      </c>
      <c r="B69" s="3" t="str">
        <f>IF(2,"t","f")</f>
        <v>t</v>
      </c>
      <c r="C69" s="3">
        <f t="shared" si="1"/>
        <v>2</v>
      </c>
      <c r="D69" s="3" t="str">
        <f t="shared" si="2"/>
        <v/>
      </c>
      <c r="E69" s="3">
        <f t="shared" si="3"/>
        <v>1</v>
      </c>
    </row>
    <row r="70" ht="15.75" customHeight="1">
      <c r="A70" s="1" t="s">
        <v>103</v>
      </c>
      <c r="B70" s="1" t="str">
        <f>IF(-0.5,"t","f")</f>
        <v>t</v>
      </c>
      <c r="C70" s="1">
        <f t="shared" si="1"/>
        <v>2</v>
      </c>
      <c r="D70" s="1" t="str">
        <f t="shared" si="2"/>
        <v/>
      </c>
      <c r="E70" s="1">
        <f t="shared" si="3"/>
        <v>1</v>
      </c>
    </row>
    <row r="71" ht="15.75" customHeight="1">
      <c r="A71" s="3" t="s">
        <v>104</v>
      </c>
      <c r="B71" s="3" t="str">
        <f>IF("TRUE","t","f")</f>
        <v>t</v>
      </c>
      <c r="C71" s="3">
        <f t="shared" si="1"/>
        <v>2</v>
      </c>
      <c r="D71" s="3" t="str">
        <f t="shared" si="2"/>
        <v/>
      </c>
      <c r="E71" s="3">
        <f t="shared" si="3"/>
        <v>1</v>
      </c>
    </row>
    <row r="72" ht="15.75" customHeight="1">
      <c r="A72" s="1" t="s">
        <v>105</v>
      </c>
      <c r="B72" s="1" t="str">
        <f>IF("true","t","f")</f>
        <v>t</v>
      </c>
      <c r="C72" s="1">
        <f t="shared" si="1"/>
        <v>2</v>
      </c>
      <c r="D72" s="1" t="str">
        <f t="shared" si="2"/>
        <v/>
      </c>
      <c r="E72" s="1">
        <f t="shared" si="3"/>
        <v>1</v>
      </c>
    </row>
    <row r="73" ht="15.75" customHeight="1">
      <c r="A73" s="3" t="s">
        <v>106</v>
      </c>
      <c r="B73" s="3" t="str">
        <f>IF("FALSE","t","f")</f>
        <v>f</v>
      </c>
      <c r="C73" s="3">
        <f t="shared" si="1"/>
        <v>2</v>
      </c>
      <c r="D73" s="3" t="str">
        <f t="shared" si="2"/>
        <v/>
      </c>
      <c r="E73" s="3">
        <f t="shared" si="3"/>
        <v>1</v>
      </c>
    </row>
    <row r="74" ht="15.75" customHeight="1">
      <c r="A74" s="1" t="s">
        <v>107</v>
      </c>
      <c r="B74" s="1" t="str">
        <f>IF("yes","t","f")</f>
        <v>#VALUE!</v>
      </c>
      <c r="C74" s="1">
        <f t="shared" si="1"/>
        <v>16</v>
      </c>
      <c r="D74" s="1">
        <f t="shared" si="2"/>
        <v>3</v>
      </c>
      <c r="E74" s="1" t="str">
        <f t="shared" si="3"/>
        <v>#VALUE!</v>
      </c>
    </row>
    <row r="75" ht="15.75" customHeight="1">
      <c r="A75" s="3" t="s">
        <v>108</v>
      </c>
      <c r="B75" s="3" t="str">
        <f>IF(Inputs!O1,"t","f")</f>
        <v>f</v>
      </c>
      <c r="C75" s="3">
        <f t="shared" si="1"/>
        <v>2</v>
      </c>
      <c r="D75" s="3" t="str">
        <f t="shared" si="2"/>
        <v/>
      </c>
      <c r="E75" s="3">
        <f t="shared" si="3"/>
        <v>1</v>
      </c>
    </row>
    <row r="76" ht="15.75" customHeight="1">
      <c r="A76" s="1" t="s">
        <v>109</v>
      </c>
      <c r="B76" s="1" t="str">
        <f>IF(NA(),"t","f")</f>
        <v>#N/A</v>
      </c>
      <c r="C76" s="1">
        <f t="shared" si="1"/>
        <v>16</v>
      </c>
      <c r="D76" s="1">
        <f t="shared" si="2"/>
        <v>7</v>
      </c>
      <c r="E76" s="1" t="str">
        <f t="shared" si="3"/>
        <v>#N/A</v>
      </c>
    </row>
    <row r="77" ht="15.75" customHeight="1">
      <c r="A77" s="3" t="s">
        <v>110</v>
      </c>
      <c r="B77" s="3" t="b">
        <f>NOT("FALSE")</f>
        <v>1</v>
      </c>
      <c r="C77" s="3">
        <f t="shared" si="1"/>
        <v>4</v>
      </c>
      <c r="D77" s="3" t="str">
        <f t="shared" si="2"/>
        <v/>
      </c>
      <c r="E77" s="3">
        <f t="shared" si="3"/>
        <v>4</v>
      </c>
    </row>
    <row r="78" ht="15.75" customHeight="1">
      <c r="A78" s="1" t="s">
        <v>111</v>
      </c>
      <c r="B78" s="1" t="str">
        <f>IF("0","t","f")</f>
        <v>#VALUE!</v>
      </c>
      <c r="C78" s="1">
        <f t="shared" si="1"/>
        <v>16</v>
      </c>
      <c r="D78" s="1">
        <f t="shared" si="2"/>
        <v>3</v>
      </c>
      <c r="E78" s="1" t="str">
        <f t="shared" si="3"/>
        <v>#VALUE!</v>
      </c>
    </row>
    <row r="79" ht="15.75" customHeight="1">
      <c r="A79" s="3" t="s">
        <v>112</v>
      </c>
      <c r="B79" s="3">
        <f>SUM(1,"2",TRUE)</f>
        <v>4</v>
      </c>
      <c r="C79" s="3">
        <f t="shared" si="1"/>
        <v>1</v>
      </c>
      <c r="D79" s="3" t="str">
        <f t="shared" si="2"/>
        <v/>
      </c>
      <c r="E79" s="3">
        <f t="shared" si="3"/>
        <v>1</v>
      </c>
    </row>
    <row r="80" ht="15.75" customHeight="1">
      <c r="A80" s="1" t="s">
        <v>113</v>
      </c>
      <c r="B80" s="1" t="str">
        <f>SUM(1,"x")</f>
        <v>#VALUE!</v>
      </c>
      <c r="C80" s="1">
        <f t="shared" si="1"/>
        <v>16</v>
      </c>
      <c r="D80" s="1">
        <f t="shared" si="2"/>
        <v>3</v>
      </c>
      <c r="E80" s="1" t="str">
        <f t="shared" si="3"/>
        <v>#VALUE!</v>
      </c>
    </row>
    <row r="81" ht="15.75" customHeight="1">
      <c r="A81" s="3" t="s">
        <v>114</v>
      </c>
      <c r="B81" s="3">
        <f>SUM(Inputs!A1:A6)</f>
        <v>15</v>
      </c>
      <c r="C81" s="3">
        <f t="shared" si="1"/>
        <v>1</v>
      </c>
      <c r="D81" s="3" t="str">
        <f t="shared" si="2"/>
        <v/>
      </c>
      <c r="E81" s="3">
        <f t="shared" si="3"/>
        <v>2</v>
      </c>
    </row>
    <row r="82" ht="15.75" customHeight="1">
      <c r="A82" s="1" t="s">
        <v>115</v>
      </c>
      <c r="B82" s="1">
        <f>SUM(Inputs!A2)</f>
        <v>0</v>
      </c>
      <c r="C82" s="1">
        <f t="shared" si="1"/>
        <v>1</v>
      </c>
      <c r="D82" s="1" t="str">
        <f t="shared" si="2"/>
        <v/>
      </c>
      <c r="E82" s="1">
        <f t="shared" si="3"/>
        <v>1</v>
      </c>
    </row>
    <row r="83" ht="15.75" customHeight="1">
      <c r="A83" s="3" t="s">
        <v>116</v>
      </c>
      <c r="B83" s="3">
        <f>SUM(Inputs!A3)</f>
        <v>0</v>
      </c>
      <c r="C83" s="3">
        <f t="shared" si="1"/>
        <v>1</v>
      </c>
      <c r="D83" s="3" t="str">
        <f t="shared" si="2"/>
        <v/>
      </c>
      <c r="E83" s="3">
        <f t="shared" si="3"/>
        <v>1</v>
      </c>
    </row>
    <row r="84" ht="15.75" customHeight="1">
      <c r="A84" s="1" t="s">
        <v>117</v>
      </c>
      <c r="B84" s="1">
        <f>AVERAGE(1,"3")</f>
        <v>2</v>
      </c>
      <c r="C84" s="1">
        <f t="shared" si="1"/>
        <v>1</v>
      </c>
      <c r="D84" s="1" t="str">
        <f t="shared" si="2"/>
        <v/>
      </c>
      <c r="E84" s="1">
        <f t="shared" si="3"/>
        <v>1</v>
      </c>
    </row>
    <row r="85" ht="15.75" customHeight="1">
      <c r="A85" s="3" t="s">
        <v>118</v>
      </c>
      <c r="B85" s="3">
        <f>MAX("7",2)</f>
        <v>7</v>
      </c>
      <c r="C85" s="3">
        <f t="shared" si="1"/>
        <v>1</v>
      </c>
      <c r="D85" s="3" t="str">
        <f t="shared" si="2"/>
        <v/>
      </c>
      <c r="E85" s="3">
        <f t="shared" si="3"/>
        <v>1</v>
      </c>
    </row>
    <row r="86" ht="15.75" customHeight="1">
      <c r="A86" s="1" t="s">
        <v>119</v>
      </c>
      <c r="B86" s="1">
        <f>COUNT("1",TRUE,"x",1)</f>
        <v>3</v>
      </c>
      <c r="C86" s="1">
        <f t="shared" si="1"/>
        <v>1</v>
      </c>
      <c r="D86" s="1" t="str">
        <f t="shared" si="2"/>
        <v/>
      </c>
      <c r="E86" s="1">
        <f t="shared" si="3"/>
        <v>1</v>
      </c>
    </row>
    <row r="87" ht="15.75" customHeight="1">
      <c r="A87" s="3" t="s">
        <v>120</v>
      </c>
      <c r="B87" s="3">
        <f t="array" ref="B87">SUM({1,"2",TRUE})</f>
        <v>1</v>
      </c>
      <c r="C87" s="3">
        <f t="shared" si="1"/>
        <v>1</v>
      </c>
      <c r="D87" s="3" t="str">
        <f t="shared" si="2"/>
        <v/>
      </c>
      <c r="E87" s="3">
        <f t="shared" si="3"/>
        <v>1</v>
      </c>
    </row>
    <row r="88" ht="15.75" customHeight="1">
      <c r="A88" s="1" t="s">
        <v>121</v>
      </c>
      <c r="B88" s="1" t="b">
        <f>1&lt;"a"</f>
        <v>1</v>
      </c>
      <c r="C88" s="1">
        <f t="shared" si="1"/>
        <v>4</v>
      </c>
      <c r="D88" s="1" t="str">
        <f t="shared" si="2"/>
        <v/>
      </c>
      <c r="E88" s="1">
        <f t="shared" si="3"/>
        <v>4</v>
      </c>
    </row>
    <row r="89" ht="15.75" customHeight="1">
      <c r="A89" s="3" t="s">
        <v>122</v>
      </c>
      <c r="B89" s="3" t="b">
        <f>"a"&lt;TRUE</f>
        <v>1</v>
      </c>
      <c r="C89" s="3">
        <f t="shared" si="1"/>
        <v>4</v>
      </c>
      <c r="D89" s="3" t="str">
        <f t="shared" si="2"/>
        <v/>
      </c>
      <c r="E89" s="3">
        <f t="shared" si="3"/>
        <v>4</v>
      </c>
    </row>
    <row r="90" ht="15.75" customHeight="1">
      <c r="A90" s="1" t="s">
        <v>123</v>
      </c>
      <c r="B90" s="1" t="b">
        <f>1&lt;TRUE</f>
        <v>1</v>
      </c>
      <c r="C90" s="1">
        <f t="shared" si="1"/>
        <v>4</v>
      </c>
      <c r="D90" s="1" t="str">
        <f t="shared" si="2"/>
        <v/>
      </c>
      <c r="E90" s="1">
        <f t="shared" si="3"/>
        <v>4</v>
      </c>
    </row>
    <row r="91" ht="15.75" customHeight="1">
      <c r="A91" s="3" t="s">
        <v>124</v>
      </c>
      <c r="B91" s="3" t="b">
        <f>"a"="A"</f>
        <v>1</v>
      </c>
      <c r="C91" s="3">
        <f t="shared" si="1"/>
        <v>4</v>
      </c>
      <c r="D91" s="3" t="str">
        <f t="shared" si="2"/>
        <v/>
      </c>
      <c r="E91" s="3">
        <f t="shared" si="3"/>
        <v>4</v>
      </c>
    </row>
    <row r="92" ht="15.75" customHeight="1">
      <c r="A92" s="1" t="s">
        <v>125</v>
      </c>
      <c r="B92" s="1" t="b">
        <f>"a"&lt;"B"</f>
        <v>1</v>
      </c>
      <c r="C92" s="1">
        <f t="shared" si="1"/>
        <v>4</v>
      </c>
      <c r="D92" s="1" t="str">
        <f t="shared" si="2"/>
        <v/>
      </c>
      <c r="E92" s="1">
        <f t="shared" si="3"/>
        <v>4</v>
      </c>
    </row>
    <row r="93" ht="15.75" customHeight="1">
      <c r="A93" s="3" t="s">
        <v>126</v>
      </c>
      <c r="B93" s="3" t="b">
        <f>"ä"="Ä"</f>
        <v>1</v>
      </c>
      <c r="C93" s="3">
        <f t="shared" si="1"/>
        <v>4</v>
      </c>
      <c r="D93" s="3" t="str">
        <f t="shared" si="2"/>
        <v/>
      </c>
      <c r="E93" s="3">
        <f t="shared" si="3"/>
        <v>4</v>
      </c>
    </row>
    <row r="94" ht="15.75" customHeight="1">
      <c r="A94" s="1" t="s">
        <v>127</v>
      </c>
      <c r="B94" s="1" t="b">
        <f>Inputs!O1=0</f>
        <v>1</v>
      </c>
      <c r="C94" s="1">
        <f t="shared" si="1"/>
        <v>4</v>
      </c>
      <c r="D94" s="1" t="str">
        <f t="shared" si="2"/>
        <v/>
      </c>
      <c r="E94" s="1">
        <f t="shared" si="3"/>
        <v>4</v>
      </c>
    </row>
    <row r="95" ht="15.75" customHeight="1">
      <c r="A95" s="3" t="s">
        <v>128</v>
      </c>
      <c r="B95" s="3" t="b">
        <f>Inputs!O1=""</f>
        <v>1</v>
      </c>
      <c r="C95" s="3">
        <f t="shared" si="1"/>
        <v>4</v>
      </c>
      <c r="D95" s="3" t="str">
        <f t="shared" si="2"/>
        <v/>
      </c>
      <c r="E95" s="3">
        <f t="shared" si="3"/>
        <v>4</v>
      </c>
    </row>
    <row r="96" ht="15.75" customHeight="1">
      <c r="A96" s="1" t="s">
        <v>129</v>
      </c>
      <c r="B96" s="1" t="b">
        <f>Inputs!O1&lt;1</f>
        <v>1</v>
      </c>
      <c r="C96" s="1">
        <f t="shared" si="1"/>
        <v>4</v>
      </c>
      <c r="D96" s="1" t="str">
        <f t="shared" si="2"/>
        <v/>
      </c>
      <c r="E96" s="1">
        <f t="shared" si="3"/>
        <v>4</v>
      </c>
    </row>
    <row r="97" ht="15.75" customHeight="1">
      <c r="A97" s="3" t="s">
        <v>130</v>
      </c>
      <c r="B97" s="3" t="b">
        <f>Inputs!O1=FALSE</f>
        <v>1</v>
      </c>
      <c r="C97" s="3">
        <f t="shared" si="1"/>
        <v>4</v>
      </c>
      <c r="D97" s="3" t="str">
        <f t="shared" si="2"/>
        <v/>
      </c>
      <c r="E97" s="3">
        <f t="shared" si="3"/>
        <v>4</v>
      </c>
    </row>
    <row r="98" ht="15.75" customHeight="1">
      <c r="A98" s="1" t="s">
        <v>131</v>
      </c>
      <c r="B98" s="1" t="b">
        <f>"10"&lt;"9"</f>
        <v>1</v>
      </c>
      <c r="C98" s="1">
        <f t="shared" si="1"/>
        <v>4</v>
      </c>
      <c r="D98" s="1" t="str">
        <f t="shared" si="2"/>
        <v/>
      </c>
      <c r="E98" s="1">
        <f t="shared" si="3"/>
        <v>4</v>
      </c>
    </row>
    <row r="99" ht="15.75" customHeight="1">
      <c r="A99" s="3" t="s">
        <v>132</v>
      </c>
      <c r="B99" s="3" t="b">
        <f>" a"="a"</f>
        <v>0</v>
      </c>
      <c r="C99" s="3">
        <f t="shared" si="1"/>
        <v>4</v>
      </c>
      <c r="D99" s="3" t="str">
        <f t="shared" si="2"/>
        <v/>
      </c>
      <c r="E99" s="3">
        <f t="shared" si="3"/>
        <v>5</v>
      </c>
    </row>
    <row r="100" ht="15.75" customHeight="1">
      <c r="A100" s="1" t="s">
        <v>133</v>
      </c>
      <c r="B100" s="1" t="b">
        <f>1=TRUE</f>
        <v>0</v>
      </c>
      <c r="C100" s="1">
        <f t="shared" si="1"/>
        <v>4</v>
      </c>
      <c r="D100" s="1" t="str">
        <f t="shared" si="2"/>
        <v/>
      </c>
      <c r="E100" s="1">
        <f t="shared" si="3"/>
        <v>5</v>
      </c>
    </row>
    <row r="101" ht="15.75" customHeight="1">
      <c r="A101" s="3" t="s">
        <v>134</v>
      </c>
      <c r="B101" s="3" t="b">
        <f>"1"=1</f>
        <v>0</v>
      </c>
      <c r="C101" s="3">
        <f t="shared" si="1"/>
        <v>4</v>
      </c>
      <c r="D101" s="3" t="str">
        <f t="shared" si="2"/>
        <v/>
      </c>
      <c r="E101" s="3">
        <f t="shared" si="3"/>
        <v>5</v>
      </c>
    </row>
    <row r="102" ht="15.75" customHeight="1">
      <c r="A102" s="1" t="s">
        <v>135</v>
      </c>
      <c r="B102" s="1" t="str">
        <f>NA()+1/0</f>
        <v>#N/A</v>
      </c>
      <c r="C102" s="1">
        <f t="shared" si="1"/>
        <v>16</v>
      </c>
      <c r="D102" s="1">
        <f t="shared" si="2"/>
        <v>7</v>
      </c>
      <c r="E102" s="1" t="str">
        <f t="shared" si="3"/>
        <v>#N/A</v>
      </c>
    </row>
    <row r="103" ht="15.75" customHeight="1">
      <c r="A103" s="3" t="s">
        <v>136</v>
      </c>
      <c r="B103" s="3" t="str">
        <f>1/0+NA()</f>
        <v>#DIV/0!</v>
      </c>
      <c r="C103" s="3">
        <f t="shared" si="1"/>
        <v>16</v>
      </c>
      <c r="D103" s="3">
        <f t="shared" si="2"/>
        <v>2</v>
      </c>
      <c r="E103" s="3" t="str">
        <f t="shared" si="3"/>
        <v>#DIV/0!</v>
      </c>
    </row>
    <row r="104" ht="15.75" customHeight="1">
      <c r="A104" s="1" t="s">
        <v>137</v>
      </c>
      <c r="B104" s="1" t="str">
        <f>SUM(1/0,NA())</f>
        <v>#DIV/0!</v>
      </c>
      <c r="C104" s="1">
        <f t="shared" si="1"/>
        <v>16</v>
      </c>
      <c r="D104" s="1">
        <f t="shared" si="2"/>
        <v>2</v>
      </c>
      <c r="E104" s="1" t="str">
        <f t="shared" si="3"/>
        <v>#DIV/0!</v>
      </c>
    </row>
    <row r="105" ht="15.75" customHeight="1">
      <c r="A105" s="3" t="s">
        <v>138</v>
      </c>
      <c r="B105" s="3" t="str">
        <f>CONCATENATE(NA(),1/0)</f>
        <v>#N/A</v>
      </c>
      <c r="C105" s="3">
        <f t="shared" si="1"/>
        <v>16</v>
      </c>
      <c r="D105" s="3">
        <f t="shared" si="2"/>
        <v>7</v>
      </c>
      <c r="E105" s="3" t="str">
        <f t="shared" si="3"/>
        <v>#N/A</v>
      </c>
    </row>
    <row r="106" ht="15.75" customHeight="1">
      <c r="A106" s="1" t="s">
        <v>139</v>
      </c>
      <c r="B106" s="1" t="str">
        <f>MAX(1/0,NA())</f>
        <v>#DIV/0!</v>
      </c>
      <c r="C106" s="1">
        <f t="shared" si="1"/>
        <v>16</v>
      </c>
      <c r="D106" s="1">
        <f t="shared" si="2"/>
        <v>2</v>
      </c>
      <c r="E106" s="1" t="str">
        <f t="shared" si="3"/>
        <v>#DIV/0!</v>
      </c>
    </row>
    <row r="107" ht="15.75" customHeight="1">
      <c r="A107" s="3" t="s">
        <v>140</v>
      </c>
      <c r="B107" s="3" t="b">
        <f>0.1+0.2=0.3</f>
        <v>1</v>
      </c>
      <c r="C107" s="3">
        <f t="shared" si="1"/>
        <v>4</v>
      </c>
      <c r="D107" s="3" t="str">
        <f t="shared" si="2"/>
        <v/>
      </c>
      <c r="E107" s="3">
        <f t="shared" si="3"/>
        <v>4</v>
      </c>
    </row>
    <row r="108" ht="15.75" customHeight="1">
      <c r="A108" s="1" t="s">
        <v>141</v>
      </c>
      <c r="B108" s="1">
        <f>(0.1+0.2)-0.3</f>
        <v>0</v>
      </c>
      <c r="C108" s="1">
        <f t="shared" si="1"/>
        <v>1</v>
      </c>
      <c r="D108" s="1" t="str">
        <f t="shared" si="2"/>
        <v/>
      </c>
      <c r="E108" s="1">
        <f t="shared" si="3"/>
        <v>20</v>
      </c>
    </row>
    <row r="109" ht="15.75" customHeight="1">
      <c r="A109" s="3" t="s">
        <v>142</v>
      </c>
      <c r="B109" s="3">
        <f>0.1*3</f>
        <v>0.3</v>
      </c>
      <c r="C109" s="3">
        <f t="shared" si="1"/>
        <v>1</v>
      </c>
      <c r="D109" s="3" t="str">
        <f t="shared" si="2"/>
        <v/>
      </c>
      <c r="E109" s="3">
        <f t="shared" si="3"/>
        <v>3</v>
      </c>
    </row>
    <row r="110" ht="15.75" customHeight="1">
      <c r="A110" s="1" t="s">
        <v>143</v>
      </c>
      <c r="B110" s="1">
        <f>1-0.9</f>
        <v>0.1</v>
      </c>
      <c r="C110" s="1">
        <f t="shared" si="1"/>
        <v>1</v>
      </c>
      <c r="D110" s="1" t="str">
        <f t="shared" si="2"/>
        <v/>
      </c>
      <c r="E110" s="1">
        <f t="shared" si="3"/>
        <v>3</v>
      </c>
    </row>
    <row r="111" ht="15.75" customHeight="1">
      <c r="A111" s="3" t="s">
        <v>144</v>
      </c>
      <c r="B111" s="3" t="b">
        <f>(1-0.9)=0.1</f>
        <v>1</v>
      </c>
      <c r="C111" s="3">
        <f t="shared" si="1"/>
        <v>4</v>
      </c>
      <c r="D111" s="3" t="str">
        <f t="shared" si="2"/>
        <v/>
      </c>
      <c r="E111" s="3">
        <f t="shared" si="3"/>
        <v>4</v>
      </c>
    </row>
    <row r="112" ht="15.75" customHeight="1">
      <c r="A112" s="1" t="s">
        <v>145</v>
      </c>
      <c r="B112" s="1">
        <f>ROUND(1.005,2)</f>
        <v>1.01</v>
      </c>
      <c r="C112" s="1">
        <f t="shared" si="1"/>
        <v>1</v>
      </c>
      <c r="D112" s="1" t="str">
        <f t="shared" si="2"/>
        <v/>
      </c>
      <c r="E112" s="1">
        <f t="shared" si="3"/>
        <v>4</v>
      </c>
    </row>
    <row r="113" ht="15.75" customHeight="1">
      <c r="A113" s="3" t="s">
        <v>146</v>
      </c>
      <c r="B113" s="3">
        <f>ROUND(2.675,2)</f>
        <v>2.68</v>
      </c>
      <c r="C113" s="3">
        <f t="shared" si="1"/>
        <v>1</v>
      </c>
      <c r="D113" s="3" t="str">
        <f t="shared" si="2"/>
        <v/>
      </c>
      <c r="E113" s="3">
        <f t="shared" si="3"/>
        <v>4</v>
      </c>
    </row>
    <row r="114" ht="15.75" customHeight="1">
      <c r="A114" s="1" t="s">
        <v>147</v>
      </c>
      <c r="B114" s="1">
        <f>ROUND(0.285,2)</f>
        <v>0.29</v>
      </c>
      <c r="C114" s="1">
        <f t="shared" si="1"/>
        <v>1</v>
      </c>
      <c r="D114" s="1" t="str">
        <f t="shared" si="2"/>
        <v/>
      </c>
      <c r="E114" s="1">
        <f t="shared" si="3"/>
        <v>4</v>
      </c>
    </row>
    <row r="115" ht="15.75" customHeight="1">
      <c r="A115" s="3" t="s">
        <v>148</v>
      </c>
      <c r="B115" s="3">
        <f>ROUNDUP(0.1+0.2,1)</f>
        <v>0.3</v>
      </c>
      <c r="C115" s="3">
        <f t="shared" si="1"/>
        <v>1</v>
      </c>
      <c r="D115" s="3" t="str">
        <f t="shared" si="2"/>
        <v/>
      </c>
      <c r="E115" s="3">
        <f t="shared" si="3"/>
        <v>3</v>
      </c>
    </row>
    <row r="116" ht="15.75" customHeight="1">
      <c r="A116" s="1" t="s">
        <v>149</v>
      </c>
      <c r="B116" s="1">
        <f>ROUNDDOWN(1-0.9,1)</f>
        <v>0.1</v>
      </c>
      <c r="C116" s="1">
        <f t="shared" si="1"/>
        <v>1</v>
      </c>
      <c r="D116" s="1" t="str">
        <f t="shared" si="2"/>
        <v/>
      </c>
      <c r="E116" s="1">
        <f t="shared" si="3"/>
        <v>3</v>
      </c>
    </row>
    <row r="117" ht="15.75" customHeight="1">
      <c r="A117" s="3" t="s">
        <v>150</v>
      </c>
      <c r="B117" s="3">
        <f>INT((1-0.9)*10)</f>
        <v>1</v>
      </c>
      <c r="C117" s="3">
        <f t="shared" si="1"/>
        <v>1</v>
      </c>
      <c r="D117" s="3" t="str">
        <f t="shared" si="2"/>
        <v/>
      </c>
      <c r="E117" s="3">
        <f t="shared" si="3"/>
        <v>1</v>
      </c>
    </row>
    <row r="118" ht="15.75" customHeight="1">
      <c r="A118" s="1" t="s">
        <v>151</v>
      </c>
      <c r="B118" s="1">
        <f>TRUNC((0.1+0.7)*10)</f>
        <v>8</v>
      </c>
      <c r="C118" s="1">
        <f t="shared" si="1"/>
        <v>1</v>
      </c>
      <c r="D118" s="1" t="str">
        <f t="shared" si="2"/>
        <v/>
      </c>
      <c r="E118" s="1">
        <f t="shared" si="3"/>
        <v>1</v>
      </c>
    </row>
    <row r="119" ht="15.75" customHeight="1">
      <c r="A119" s="3" t="s">
        <v>152</v>
      </c>
      <c r="B119" s="3">
        <f>TRUNC(4.35*100)</f>
        <v>435</v>
      </c>
      <c r="C119" s="3">
        <f t="shared" si="1"/>
        <v>1</v>
      </c>
      <c r="D119" s="3" t="str">
        <f t="shared" si="2"/>
        <v/>
      </c>
      <c r="E119" s="3">
        <f t="shared" si="3"/>
        <v>3</v>
      </c>
    </row>
    <row r="120" ht="15.75" customHeight="1">
      <c r="A120" s="1" t="s">
        <v>153</v>
      </c>
      <c r="B120" s="1">
        <f>MOD(1,0.1)</f>
        <v>0</v>
      </c>
      <c r="C120" s="1">
        <f t="shared" si="1"/>
        <v>1</v>
      </c>
      <c r="D120" s="1" t="str">
        <f t="shared" si="2"/>
        <v/>
      </c>
      <c r="E120" s="1">
        <f t="shared" si="3"/>
        <v>1</v>
      </c>
    </row>
    <row r="121" ht="15.75" customHeight="1">
      <c r="A121" s="3" t="s">
        <v>154</v>
      </c>
      <c r="B121" s="3">
        <f>MOD(0.3,0.1)</f>
        <v>0</v>
      </c>
      <c r="C121" s="3">
        <f t="shared" si="1"/>
        <v>1</v>
      </c>
      <c r="D121" s="3" t="str">
        <f t="shared" si="2"/>
        <v/>
      </c>
      <c r="E121" s="3">
        <f t="shared" si="3"/>
        <v>21</v>
      </c>
    </row>
    <row r="122" ht="15.75" customHeight="1">
      <c r="A122" s="1" t="s">
        <v>155</v>
      </c>
      <c r="B122" s="1" t="b">
        <f>1/3*3=1</f>
        <v>1</v>
      </c>
      <c r="C122" s="1">
        <f t="shared" si="1"/>
        <v>4</v>
      </c>
      <c r="D122" s="1" t="str">
        <f t="shared" si="2"/>
        <v/>
      </c>
      <c r="E122" s="1">
        <f t="shared" si="3"/>
        <v>4</v>
      </c>
    </row>
    <row r="123" ht="15.75" customHeight="1">
      <c r="A123" s="3" t="s">
        <v>156</v>
      </c>
      <c r="B123" s="3" t="str">
        <f>1/3&amp;""</f>
        <v>0.333333333333333</v>
      </c>
      <c r="C123" s="3">
        <f t="shared" si="1"/>
        <v>2</v>
      </c>
      <c r="D123" s="3" t="str">
        <f t="shared" si="2"/>
        <v/>
      </c>
      <c r="E123" s="3">
        <f t="shared" si="3"/>
        <v>17</v>
      </c>
    </row>
    <row r="124" ht="15.75" customHeight="1">
      <c r="A124" s="1" t="s">
        <v>157</v>
      </c>
      <c r="B124" s="1" t="str">
        <f>2/3&amp;""</f>
        <v>0.666666666666667</v>
      </c>
      <c r="C124" s="1">
        <f t="shared" si="1"/>
        <v>2</v>
      </c>
      <c r="D124" s="1" t="str">
        <f t="shared" si="2"/>
        <v/>
      </c>
      <c r="E124" s="1">
        <f t="shared" si="3"/>
        <v>17</v>
      </c>
    </row>
    <row r="125" ht="15.75" customHeight="1">
      <c r="A125" s="3" t="s">
        <v>158</v>
      </c>
      <c r="B125" s="3">
        <f>1000000000000000+1</f>
        <v>1E+15</v>
      </c>
      <c r="C125" s="3">
        <f t="shared" si="1"/>
        <v>1</v>
      </c>
      <c r="D125" s="3" t="str">
        <f t="shared" si="2"/>
        <v/>
      </c>
      <c r="E125" s="3">
        <f t="shared" si="3"/>
        <v>16</v>
      </c>
    </row>
    <row r="126" ht="15.75" customHeight="1">
      <c r="A126" s="1" t="s">
        <v>159</v>
      </c>
      <c r="B126" s="1" t="str">
        <f>(10000000000000000+1)&amp;""</f>
        <v>10000000000000000</v>
      </c>
      <c r="C126" s="1">
        <f t="shared" si="1"/>
        <v>2</v>
      </c>
      <c r="D126" s="1" t="str">
        <f t="shared" si="2"/>
        <v/>
      </c>
      <c r="E126" s="1">
        <f t="shared" si="3"/>
        <v>17</v>
      </c>
    </row>
    <row r="127" ht="15.75" customHeight="1">
      <c r="A127" s="3" t="s">
        <v>160</v>
      </c>
      <c r="B127" s="3">
        <f>123456789012345000</f>
        <v>1.23457E+17</v>
      </c>
      <c r="C127" s="3">
        <f t="shared" si="1"/>
        <v>1</v>
      </c>
      <c r="D127" s="3" t="str">
        <f t="shared" si="2"/>
        <v/>
      </c>
      <c r="E127" s="3">
        <f t="shared" si="3"/>
        <v>18</v>
      </c>
    </row>
    <row r="128" ht="15.75" customHeight="1">
      <c r="A128" s="1" t="s">
        <v>161</v>
      </c>
      <c r="B128" s="1" t="str">
        <f>1.E+308*10</f>
        <v>#NUM!</v>
      </c>
      <c r="C128" s="1">
        <f t="shared" si="1"/>
        <v>16</v>
      </c>
      <c r="D128" s="1">
        <f t="shared" si="2"/>
        <v>6</v>
      </c>
      <c r="E128" s="1" t="str">
        <f t="shared" si="3"/>
        <v>#NUM!</v>
      </c>
    </row>
    <row r="129" ht="15.75" customHeight="1">
      <c r="A129" s="3" t="s">
        <v>162</v>
      </c>
      <c r="B129" s="3">
        <f>0.E-02</f>
        <v>0</v>
      </c>
      <c r="C129" s="3">
        <f t="shared" si="1"/>
        <v>1</v>
      </c>
      <c r="D129" s="3" t="str">
        <f t="shared" si="2"/>
        <v/>
      </c>
      <c r="E129" s="3">
        <f t="shared" si="3"/>
        <v>6</v>
      </c>
    </row>
    <row r="130" ht="15.75" customHeight="1">
      <c r="A130" s="1" t="s">
        <v>163</v>
      </c>
      <c r="B130" s="1" t="b">
        <f>SUM(0.1,0.2,0.3)=0.6</f>
        <v>1</v>
      </c>
      <c r="C130" s="1">
        <f t="shared" si="1"/>
        <v>4</v>
      </c>
      <c r="D130" s="1" t="str">
        <f t="shared" si="2"/>
        <v/>
      </c>
      <c r="E130" s="1">
        <f t="shared" si="3"/>
        <v>4</v>
      </c>
    </row>
    <row r="131" ht="15.75" customHeight="1">
      <c r="A131" s="3" t="s">
        <v>164</v>
      </c>
      <c r="B131" s="3">
        <f>0.1+0.7</f>
        <v>0.8</v>
      </c>
      <c r="C131" s="3">
        <f t="shared" si="1"/>
        <v>1</v>
      </c>
      <c r="D131" s="3" t="str">
        <f t="shared" si="2"/>
        <v/>
      </c>
      <c r="E131" s="3">
        <f t="shared" si="3"/>
        <v>3</v>
      </c>
    </row>
    <row r="132" ht="15.75" customHeight="1">
      <c r="A132" s="1" t="s">
        <v>165</v>
      </c>
      <c r="B132" s="1">
        <f>4.35*100</f>
        <v>435</v>
      </c>
      <c r="C132" s="1">
        <f t="shared" si="1"/>
        <v>1</v>
      </c>
      <c r="D132" s="1" t="str">
        <f t="shared" si="2"/>
        <v/>
      </c>
      <c r="E132" s="1">
        <f t="shared" si="3"/>
        <v>4</v>
      </c>
    </row>
    <row r="133" ht="15.75" customHeight="1">
      <c r="A133" s="3" t="s">
        <v>166</v>
      </c>
      <c r="B133" s="3">
        <f>MATCH(0.1+0.2,Inputs!Q1,0)</f>
        <v>1</v>
      </c>
      <c r="C133" s="3">
        <f t="shared" si="1"/>
        <v>1</v>
      </c>
      <c r="D133" s="3" t="str">
        <f t="shared" si="2"/>
        <v/>
      </c>
      <c r="E133" s="3">
        <f t="shared" si="3"/>
        <v>1</v>
      </c>
    </row>
    <row r="134" ht="15.75" customHeight="1">
      <c r="A134" s="1" t="s">
        <v>167</v>
      </c>
      <c r="B134" s="1" t="str">
        <f>VLOOKUP(0.1+0.2,Inputs!Q1:R1,2,FALSE)</f>
        <v>found</v>
      </c>
      <c r="C134" s="1">
        <f t="shared" si="1"/>
        <v>2</v>
      </c>
      <c r="D134" s="1" t="str">
        <f t="shared" si="2"/>
        <v/>
      </c>
      <c r="E134" s="1">
        <f t="shared" si="3"/>
        <v>5</v>
      </c>
    </row>
    <row r="135" ht="15.75" customHeight="1">
      <c r="A135" s="3" t="s">
        <v>168</v>
      </c>
      <c r="B135" s="3">
        <f>COUNTIF(Inputs!Q1,0.1+0.2)</f>
        <v>1</v>
      </c>
      <c r="C135" s="3">
        <f t="shared" si="1"/>
        <v>1</v>
      </c>
      <c r="D135" s="3" t="str">
        <f t="shared" si="2"/>
        <v/>
      </c>
      <c r="E135" s="3">
        <f t="shared" si="3"/>
        <v>1</v>
      </c>
    </row>
    <row r="136" ht="15.75" customHeight="1">
      <c r="A136" s="1" t="s">
        <v>169</v>
      </c>
      <c r="B136" s="1" t="b">
        <f>1.1*1.1=1.21</f>
        <v>1</v>
      </c>
      <c r="C136" s="1">
        <f t="shared" si="1"/>
        <v>4</v>
      </c>
      <c r="D136" s="1" t="str">
        <f t="shared" si="2"/>
        <v/>
      </c>
      <c r="E136" s="1">
        <f t="shared" si="3"/>
        <v>4</v>
      </c>
    </row>
    <row r="137" ht="15.75" customHeight="1">
      <c r="A137" s="3" t="s">
        <v>170</v>
      </c>
      <c r="B137" s="3" t="b">
        <f>SQRT(2)^2=2</f>
        <v>1</v>
      </c>
      <c r="C137" s="3">
        <f t="shared" si="1"/>
        <v>4</v>
      </c>
      <c r="D137" s="3" t="str">
        <f t="shared" si="2"/>
        <v/>
      </c>
      <c r="E137" s="3">
        <f t="shared" si="3"/>
        <v>4</v>
      </c>
    </row>
    <row r="138" ht="15.75" customHeight="1">
      <c r="A138" s="1" t="s">
        <v>171</v>
      </c>
      <c r="B138" s="1" t="b">
        <f>10/3*3=10</f>
        <v>1</v>
      </c>
      <c r="C138" s="1">
        <f t="shared" si="1"/>
        <v>4</v>
      </c>
      <c r="D138" s="1" t="str">
        <f t="shared" si="2"/>
        <v/>
      </c>
      <c r="E138" s="1">
        <f t="shared" si="3"/>
        <v>4</v>
      </c>
    </row>
    <row r="139" ht="15.75" customHeight="1">
      <c r="A139" s="3" t="s">
        <v>172</v>
      </c>
      <c r="B139" s="3" t="b">
        <f>0.1+0.2&gt;0.3</f>
        <v>0</v>
      </c>
      <c r="C139" s="3">
        <f t="shared" si="1"/>
        <v>4</v>
      </c>
      <c r="D139" s="3" t="str">
        <f t="shared" si="2"/>
        <v/>
      </c>
      <c r="E139" s="3">
        <f t="shared" si="3"/>
        <v>5</v>
      </c>
    </row>
    <row r="140" ht="15.75" customHeight="1">
      <c r="A140" s="1" t="s">
        <v>173</v>
      </c>
      <c r="B140" s="1" t="b">
        <f>(0.1+0.2)-0.3=0</f>
        <v>0</v>
      </c>
      <c r="C140" s="1">
        <f t="shared" si="1"/>
        <v>4</v>
      </c>
      <c r="D140" s="1" t="str">
        <f t="shared" si="2"/>
        <v/>
      </c>
      <c r="E140" s="1">
        <f t="shared" si="3"/>
        <v>5</v>
      </c>
    </row>
    <row r="141" ht="15.75" customHeight="1">
      <c r="A141" s="3" t="s">
        <v>174</v>
      </c>
      <c r="B141" s="3">
        <f>ROUND(-1.005,2)</f>
        <v>-1.01</v>
      </c>
      <c r="C141" s="3">
        <f t="shared" si="1"/>
        <v>1</v>
      </c>
      <c r="D141" s="3" t="str">
        <f t="shared" si="2"/>
        <v/>
      </c>
      <c r="E141" s="3">
        <f t="shared" si="3"/>
        <v>5</v>
      </c>
    </row>
    <row r="142" ht="15.75" customHeight="1">
      <c r="A142" s="1" t="s">
        <v>175</v>
      </c>
      <c r="B142" s="1">
        <f>ROUND(1234567.891,-3)</f>
        <v>1235000</v>
      </c>
      <c r="C142" s="1">
        <f t="shared" si="1"/>
        <v>1</v>
      </c>
      <c r="D142" s="1" t="str">
        <f t="shared" si="2"/>
        <v/>
      </c>
      <c r="E142" s="1">
        <f t="shared" si="3"/>
        <v>7</v>
      </c>
    </row>
    <row r="143" ht="15.75" customHeight="1">
      <c r="A143" s="3" t="s">
        <v>176</v>
      </c>
      <c r="B143" s="4">
        <f>DATE(1900,2,29)</f>
        <v>61</v>
      </c>
      <c r="C143" s="3">
        <f t="shared" si="1"/>
        <v>1</v>
      </c>
      <c r="D143" s="3" t="str">
        <f t="shared" si="2"/>
        <v/>
      </c>
      <c r="E143" s="3">
        <f t="shared" si="3"/>
        <v>2</v>
      </c>
    </row>
    <row r="144" ht="15.75" customHeight="1">
      <c r="A144" s="1" t="s">
        <v>177</v>
      </c>
      <c r="B144" s="1">
        <f>DATE(1900,3,1)-DATE(1900,2,28)</f>
        <v>1</v>
      </c>
      <c r="C144" s="1">
        <f t="shared" si="1"/>
        <v>1</v>
      </c>
      <c r="D144" s="1" t="str">
        <f t="shared" si="2"/>
        <v/>
      </c>
      <c r="E144" s="1">
        <f t="shared" si="3"/>
        <v>1</v>
      </c>
    </row>
    <row r="145" ht="15.75" customHeight="1">
      <c r="A145" s="3" t="s">
        <v>178</v>
      </c>
      <c r="B145" s="3" t="str">
        <f>TEXT(60,"yyyy-mm-dd")</f>
        <v>1900-02-28</v>
      </c>
      <c r="C145" s="3">
        <f t="shared" si="1"/>
        <v>2</v>
      </c>
      <c r="D145" s="3" t="str">
        <f t="shared" si="2"/>
        <v/>
      </c>
      <c r="E145" s="3">
        <f t="shared" si="3"/>
        <v>10</v>
      </c>
    </row>
    <row r="146" ht="15.75" customHeight="1">
      <c r="A146" s="1" t="s">
        <v>179</v>
      </c>
      <c r="B146" s="1" t="str">
        <f>TEXT(59,"yyyy-mm-dd")</f>
        <v>1900-02-27</v>
      </c>
      <c r="C146" s="1">
        <f t="shared" si="1"/>
        <v>2</v>
      </c>
      <c r="D146" s="1" t="str">
        <f t="shared" si="2"/>
        <v/>
      </c>
      <c r="E146" s="1">
        <f t="shared" si="3"/>
        <v>10</v>
      </c>
    </row>
    <row r="147" ht="15.75" customHeight="1">
      <c r="A147" s="3" t="s">
        <v>180</v>
      </c>
      <c r="B147" s="3" t="str">
        <f>TEXT(61,"yyyy-mm-dd")</f>
        <v>1900-03-01</v>
      </c>
      <c r="C147" s="3">
        <f t="shared" si="1"/>
        <v>2</v>
      </c>
      <c r="D147" s="3" t="str">
        <f t="shared" si="2"/>
        <v/>
      </c>
      <c r="E147" s="3">
        <f t="shared" si="3"/>
        <v>10</v>
      </c>
    </row>
    <row r="148" ht="15.75" customHeight="1">
      <c r="A148" s="1" t="s">
        <v>181</v>
      </c>
      <c r="B148" s="5">
        <f>DATE(1900,1,1)</f>
        <v>2</v>
      </c>
      <c r="C148" s="1">
        <f t="shared" si="1"/>
        <v>1</v>
      </c>
      <c r="D148" s="1" t="str">
        <f t="shared" si="2"/>
        <v/>
      </c>
      <c r="E148" s="1">
        <f t="shared" si="3"/>
        <v>1</v>
      </c>
    </row>
    <row r="149" ht="15.75" customHeight="1">
      <c r="A149" s="3" t="s">
        <v>182</v>
      </c>
      <c r="B149" s="3" t="str">
        <f>TEXT(1,"yyyy-mm-dd")</f>
        <v>1899-12-31</v>
      </c>
      <c r="C149" s="3">
        <f t="shared" si="1"/>
        <v>2</v>
      </c>
      <c r="D149" s="3" t="str">
        <f t="shared" si="2"/>
        <v/>
      </c>
      <c r="E149" s="3">
        <f t="shared" si="3"/>
        <v>10</v>
      </c>
    </row>
    <row r="150" ht="15.75" customHeight="1">
      <c r="A150" s="1" t="s">
        <v>183</v>
      </c>
      <c r="B150" s="1" t="str">
        <f>TEXT(0,"yyyy-mm-dd")</f>
        <v>1899-12-30</v>
      </c>
      <c r="C150" s="1">
        <f t="shared" si="1"/>
        <v>2</v>
      </c>
      <c r="D150" s="1" t="str">
        <f t="shared" si="2"/>
        <v/>
      </c>
      <c r="E150" s="1">
        <f t="shared" si="3"/>
        <v>10</v>
      </c>
    </row>
    <row r="151" ht="15.75" customHeight="1">
      <c r="A151" s="3" t="s">
        <v>184</v>
      </c>
      <c r="B151" s="3">
        <f>DAY(60)</f>
        <v>28</v>
      </c>
      <c r="C151" s="3">
        <f t="shared" si="1"/>
        <v>1</v>
      </c>
      <c r="D151" s="3" t="str">
        <f t="shared" si="2"/>
        <v/>
      </c>
      <c r="E151" s="3">
        <f t="shared" si="3"/>
        <v>2</v>
      </c>
    </row>
    <row r="152" ht="15.75" customHeight="1">
      <c r="A152" s="1" t="s">
        <v>185</v>
      </c>
      <c r="B152" s="1">
        <f>MONTH(60)</f>
        <v>2</v>
      </c>
      <c r="C152" s="1">
        <f t="shared" si="1"/>
        <v>1</v>
      </c>
      <c r="D152" s="1" t="str">
        <f t="shared" si="2"/>
        <v/>
      </c>
      <c r="E152" s="1">
        <f t="shared" si="3"/>
        <v>1</v>
      </c>
    </row>
    <row r="153" ht="15.75" customHeight="1">
      <c r="A153" s="3" t="s">
        <v>186</v>
      </c>
      <c r="B153" s="3" t="str">
        <f>TEXT(-1,"yyyy-mm-dd")</f>
        <v>1899-12-29</v>
      </c>
      <c r="C153" s="3">
        <f t="shared" si="1"/>
        <v>2</v>
      </c>
      <c r="D153" s="3" t="str">
        <f t="shared" si="2"/>
        <v/>
      </c>
      <c r="E153" s="3">
        <f t="shared" si="3"/>
        <v>10</v>
      </c>
    </row>
    <row r="154" ht="15.75" customHeight="1">
      <c r="A154" s="1" t="s">
        <v>187</v>
      </c>
      <c r="B154" s="1" t="str">
        <f>YEAR(-1)</f>
        <v>#NUM!</v>
      </c>
      <c r="C154" s="1">
        <f t="shared" si="1"/>
        <v>16</v>
      </c>
      <c r="D154" s="1">
        <f t="shared" si="2"/>
        <v>6</v>
      </c>
      <c r="E154" s="1" t="str">
        <f t="shared" si="3"/>
        <v>#NUM!</v>
      </c>
    </row>
    <row r="155" ht="15.75" customHeight="1">
      <c r="A155" s="3" t="s">
        <v>188</v>
      </c>
      <c r="B155" s="4">
        <f>DATE(1899,12,29)</f>
        <v>693960</v>
      </c>
      <c r="C155" s="3">
        <f t="shared" si="1"/>
        <v>1</v>
      </c>
      <c r="D155" s="3" t="str">
        <f t="shared" si="2"/>
        <v/>
      </c>
      <c r="E155" s="3">
        <f t="shared" si="3"/>
        <v>6</v>
      </c>
    </row>
    <row r="156" ht="15.75" customHeight="1">
      <c r="A156" s="1" t="s">
        <v>189</v>
      </c>
      <c r="B156" s="5">
        <f>DATE(2026,10,27)</f>
        <v>46322</v>
      </c>
      <c r="C156" s="1">
        <f t="shared" si="1"/>
        <v>1</v>
      </c>
      <c r="D156" s="1" t="str">
        <f t="shared" si="2"/>
        <v/>
      </c>
      <c r="E156" s="1">
        <f t="shared" si="3"/>
        <v>5</v>
      </c>
    </row>
    <row r="157" ht="15.75" customHeight="1">
      <c r="A157" s="3" t="s">
        <v>190</v>
      </c>
      <c r="B157" s="4">
        <f>DATE(0,1,1)</f>
        <v>2</v>
      </c>
      <c r="C157" s="3">
        <f t="shared" si="1"/>
        <v>1</v>
      </c>
      <c r="D157" s="3" t="str">
        <f t="shared" si="2"/>
        <v/>
      </c>
      <c r="E157" s="3">
        <f t="shared" si="3"/>
        <v>1</v>
      </c>
    </row>
    <row r="158" ht="15.75" customHeight="1">
      <c r="A158" s="1" t="s">
        <v>191</v>
      </c>
      <c r="B158" s="5">
        <f>DATE(99,12,31)</f>
        <v>36525</v>
      </c>
      <c r="C158" s="1">
        <f t="shared" si="1"/>
        <v>1</v>
      </c>
      <c r="D158" s="1" t="str">
        <f t="shared" si="2"/>
        <v/>
      </c>
      <c r="E158" s="1">
        <f t="shared" si="3"/>
        <v>5</v>
      </c>
    </row>
    <row r="159" ht="15.75" customHeight="1">
      <c r="A159" s="3" t="s">
        <v>192</v>
      </c>
      <c r="B159" s="4">
        <f>DATE(119,2,1)</f>
        <v>43497</v>
      </c>
      <c r="C159" s="3">
        <f t="shared" si="1"/>
        <v>1</v>
      </c>
      <c r="D159" s="3" t="str">
        <f t="shared" si="2"/>
        <v/>
      </c>
      <c r="E159" s="3">
        <f t="shared" si="3"/>
        <v>5</v>
      </c>
    </row>
    <row r="160" ht="15.75" customHeight="1">
      <c r="A160" s="1" t="s">
        <v>193</v>
      </c>
      <c r="B160" s="1" t="str">
        <f>DATE(-1,1,1)</f>
        <v>#NUM!</v>
      </c>
      <c r="C160" s="1">
        <f t="shared" si="1"/>
        <v>16</v>
      </c>
      <c r="D160" s="1">
        <f t="shared" si="2"/>
        <v>6</v>
      </c>
      <c r="E160" s="1" t="str">
        <f t="shared" si="3"/>
        <v>#NUM!</v>
      </c>
    </row>
    <row r="161" ht="15.75" customHeight="1">
      <c r="A161" s="3" t="s">
        <v>194</v>
      </c>
      <c r="B161" s="3" t="str">
        <f>DATE(10000,1,1)</f>
        <v>#NUM!</v>
      </c>
      <c r="C161" s="3">
        <f t="shared" si="1"/>
        <v>16</v>
      </c>
      <c r="D161" s="3">
        <f t="shared" si="2"/>
        <v>6</v>
      </c>
      <c r="E161" s="3" t="str">
        <f t="shared" si="3"/>
        <v>#NUM!</v>
      </c>
    </row>
    <row r="162" ht="15.75" customHeight="1">
      <c r="A162" s="1" t="s">
        <v>195</v>
      </c>
      <c r="B162" s="5">
        <f>DATE(9999,12,31)</f>
        <v>2958465</v>
      </c>
      <c r="C162" s="1">
        <f t="shared" si="1"/>
        <v>1</v>
      </c>
      <c r="D162" s="1" t="str">
        <f t="shared" si="2"/>
        <v/>
      </c>
      <c r="E162" s="1">
        <f t="shared" si="3"/>
        <v>7</v>
      </c>
    </row>
    <row r="163" ht="15.75" customHeight="1">
      <c r="A163" s="3" t="s">
        <v>196</v>
      </c>
      <c r="B163" s="3">
        <f>DATEVALUE("1/1/29")</f>
        <v>47119</v>
      </c>
      <c r="C163" s="3">
        <f t="shared" si="1"/>
        <v>1</v>
      </c>
      <c r="D163" s="3" t="str">
        <f t="shared" si="2"/>
        <v/>
      </c>
      <c r="E163" s="3">
        <f t="shared" si="3"/>
        <v>5</v>
      </c>
    </row>
    <row r="164" ht="15.75" customHeight="1">
      <c r="A164" s="1" t="s">
        <v>197</v>
      </c>
      <c r="B164" s="1">
        <f>DATEVALUE("1/1/30")</f>
        <v>10959</v>
      </c>
      <c r="C164" s="1">
        <f t="shared" si="1"/>
        <v>1</v>
      </c>
      <c r="D164" s="1" t="str">
        <f t="shared" si="2"/>
        <v/>
      </c>
      <c r="E164" s="1">
        <f t="shared" si="3"/>
        <v>5</v>
      </c>
    </row>
    <row r="165" ht="15.75" customHeight="1">
      <c r="A165" s="3" t="s">
        <v>198</v>
      </c>
      <c r="B165" s="3" t="str">
        <f>TEXT(DATE(2026,10,27)+0.5,"yyyy-mm-dd hh:mm")</f>
        <v>2026-10-27 12:00</v>
      </c>
      <c r="C165" s="3">
        <f t="shared" si="1"/>
        <v>2</v>
      </c>
      <c r="D165" s="3" t="str">
        <f t="shared" si="2"/>
        <v/>
      </c>
      <c r="E165" s="3">
        <f t="shared" si="3"/>
        <v>16</v>
      </c>
    </row>
    <row r="166" ht="15.75" customHeight="1">
      <c r="A166" s="1" t="s">
        <v>199</v>
      </c>
      <c r="B166" s="5">
        <f>DATE(2024,2,29)+365</f>
        <v>45716</v>
      </c>
      <c r="C166" s="1">
        <f t="shared" si="1"/>
        <v>1</v>
      </c>
      <c r="D166" s="1" t="str">
        <f t="shared" si="2"/>
        <v/>
      </c>
      <c r="E166" s="1">
        <f t="shared" si="3"/>
        <v>5</v>
      </c>
    </row>
    <row r="167" ht="15.75" customHeight="1">
      <c r="A167" s="3" t="s">
        <v>200</v>
      </c>
      <c r="B167" s="4">
        <f>DATE(2100,2,29)</f>
        <v>73110</v>
      </c>
      <c r="C167" s="3">
        <f t="shared" si="1"/>
        <v>1</v>
      </c>
      <c r="D167" s="3" t="str">
        <f t="shared" si="2"/>
        <v/>
      </c>
      <c r="E167" s="3">
        <f t="shared" si="3"/>
        <v>5</v>
      </c>
    </row>
    <row r="168" ht="15.75" customHeight="1">
      <c r="A168" s="1" t="s">
        <v>201</v>
      </c>
      <c r="B168" s="1" t="str">
        <f>TEXT(2958465,"yyyy-mm-dd")</f>
        <v>9999-12-31</v>
      </c>
      <c r="C168" s="1">
        <f t="shared" si="1"/>
        <v>2</v>
      </c>
      <c r="D168" s="1" t="str">
        <f t="shared" si="2"/>
        <v/>
      </c>
      <c r="E168" s="1">
        <f t="shared" si="3"/>
        <v>10</v>
      </c>
    </row>
    <row r="169" ht="15.75" customHeight="1">
      <c r="A169" s="3" t="s">
        <v>202</v>
      </c>
      <c r="B169" s="3" t="str">
        <f>TEXT(2958466,"yyyy-mm-dd")</f>
        <v>10000-01-01</v>
      </c>
      <c r="C169" s="3">
        <f t="shared" si="1"/>
        <v>2</v>
      </c>
      <c r="D169" s="3" t="str">
        <f t="shared" si="2"/>
        <v/>
      </c>
      <c r="E169" s="3">
        <f t="shared" si="3"/>
        <v>11</v>
      </c>
    </row>
    <row r="170" ht="15.75" customHeight="1">
      <c r="A170" s="1" t="s">
        <v>203</v>
      </c>
      <c r="B170" s="1" t="str">
        <f>VALUE("1900-02-29")</f>
        <v>#VALUE!</v>
      </c>
      <c r="C170" s="1">
        <f t="shared" si="1"/>
        <v>16</v>
      </c>
      <c r="D170" s="1">
        <f t="shared" si="2"/>
        <v>3</v>
      </c>
      <c r="E170" s="1" t="str">
        <f t="shared" si="3"/>
        <v>#VALUE!</v>
      </c>
    </row>
    <row r="171" ht="15.75" customHeight="1">
      <c r="A171" s="3" t="s">
        <v>204</v>
      </c>
      <c r="B171" s="3" t="str">
        <f>VLOOKUP(25,Inputs!E1:F5,2,TRUE)</f>
        <v>a</v>
      </c>
      <c r="C171" s="3">
        <f t="shared" si="1"/>
        <v>2</v>
      </c>
      <c r="D171" s="3" t="str">
        <f t="shared" si="2"/>
        <v/>
      </c>
      <c r="E171" s="3">
        <f t="shared" si="3"/>
        <v>1</v>
      </c>
    </row>
    <row r="172" ht="15.75" customHeight="1">
      <c r="A172" s="1" t="s">
        <v>205</v>
      </c>
      <c r="B172" s="1" t="str">
        <f>VLOOKUP(45,Inputs!E1:F5,2,TRUE)</f>
        <v>a</v>
      </c>
      <c r="C172" s="1">
        <f t="shared" si="1"/>
        <v>2</v>
      </c>
      <c r="D172" s="1" t="str">
        <f t="shared" si="2"/>
        <v/>
      </c>
      <c r="E172" s="1">
        <f t="shared" si="3"/>
        <v>1</v>
      </c>
    </row>
    <row r="173" ht="15.75" customHeight="1">
      <c r="A173" s="3" t="s">
        <v>206</v>
      </c>
      <c r="B173" s="3">
        <f>MATCH(35,Inputs!E1:E5,1)</f>
        <v>2</v>
      </c>
      <c r="C173" s="3">
        <f t="shared" si="1"/>
        <v>1</v>
      </c>
      <c r="D173" s="3" t="str">
        <f t="shared" si="2"/>
        <v/>
      </c>
      <c r="E173" s="3">
        <f t="shared" si="3"/>
        <v>1</v>
      </c>
    </row>
    <row r="174" ht="15.75" customHeight="1">
      <c r="A174" s="1" t="s">
        <v>207</v>
      </c>
      <c r="B174" s="1" t="str">
        <f>MATCH(5,Inputs!E1:E5,1)</f>
        <v>#N/A</v>
      </c>
      <c r="C174" s="1">
        <f t="shared" si="1"/>
        <v>16</v>
      </c>
      <c r="D174" s="1">
        <f t="shared" si="2"/>
        <v>7</v>
      </c>
      <c r="E174" s="1" t="str">
        <f t="shared" si="3"/>
        <v>#N/A</v>
      </c>
    </row>
    <row r="175" ht="15.75" customHeight="1">
      <c r="A175" s="3" t="s">
        <v>208</v>
      </c>
      <c r="B175" s="3" t="str">
        <f>LOOKUP(25,Inputs!E1:E5,Inputs!F1:F5)</f>
        <v>a</v>
      </c>
      <c r="C175" s="3">
        <f t="shared" si="1"/>
        <v>2</v>
      </c>
      <c r="D175" s="3" t="str">
        <f t="shared" si="2"/>
        <v/>
      </c>
      <c r="E175" s="3">
        <f t="shared" si="3"/>
        <v>1</v>
      </c>
    </row>
    <row r="176" ht="15.75" customHeight="1">
      <c r="A176" s="1" t="s">
        <v>209</v>
      </c>
      <c r="B176" s="1" t="str">
        <f t="array" ref="B176">_xlfn.XLOOKUP(25,Inputs!E1:E5,Inputs!F1:F5,,-1)</f>
        <v>b</v>
      </c>
      <c r="C176" s="1">
        <f t="shared" si="1"/>
        <v>2</v>
      </c>
      <c r="D176" s="1" t="str">
        <f t="shared" si="2"/>
        <v/>
      </c>
      <c r="E176" s="1">
        <f t="shared" si="3"/>
        <v>1</v>
      </c>
    </row>
    <row r="177" ht="15.75" customHeight="1">
      <c r="A177" s="3" t="s">
        <v>210</v>
      </c>
      <c r="B177" s="3">
        <f>MATCH(TRUE,Inputs!A1:A6,0)</f>
        <v>3</v>
      </c>
      <c r="C177" s="3">
        <f t="shared" si="1"/>
        <v>1</v>
      </c>
      <c r="D177" s="3" t="str">
        <f t="shared" si="2"/>
        <v/>
      </c>
      <c r="E177" s="3">
        <f t="shared" si="3"/>
        <v>1</v>
      </c>
    </row>
    <row r="178" ht="15.75" customHeight="1">
      <c r="A178" s="1" t="s">
        <v>211</v>
      </c>
      <c r="B178" s="1">
        <f>MATCH("20",Inputs!A1:A6,0)</f>
        <v>2</v>
      </c>
      <c r="C178" s="1">
        <f t="shared" si="1"/>
        <v>1</v>
      </c>
      <c r="D178" s="1" t="str">
        <f t="shared" si="2"/>
        <v/>
      </c>
      <c r="E178" s="1">
        <f t="shared" si="3"/>
        <v>1</v>
      </c>
    </row>
    <row r="179" ht="15.75" customHeight="1">
      <c r="A179" s="3" t="s">
        <v>212</v>
      </c>
      <c r="B179" s="3" t="str">
        <f>MATCH(20,Inputs!A1:A6,0)</f>
        <v>#N/A</v>
      </c>
      <c r="C179" s="3">
        <f t="shared" si="1"/>
        <v>16</v>
      </c>
      <c r="D179" s="3">
        <f t="shared" si="2"/>
        <v>7</v>
      </c>
      <c r="E179" s="3" t="str">
        <f t="shared" si="3"/>
        <v>#N/A</v>
      </c>
    </row>
    <row r="180" ht="15.75" customHeight="1">
      <c r="A180" s="1" t="s">
        <v>213</v>
      </c>
      <c r="B180" s="1" t="str">
        <f>VLOOKUP(Inputs!O1,Inputs!C2:D5,2,TRUE)</f>
        <v>#N/A</v>
      </c>
      <c r="C180" s="1">
        <f t="shared" si="1"/>
        <v>16</v>
      </c>
      <c r="D180" s="1">
        <f t="shared" si="2"/>
        <v>7</v>
      </c>
      <c r="E180" s="1" t="str">
        <f t="shared" si="3"/>
        <v>#N/A</v>
      </c>
    </row>
    <row r="181" ht="15.75" customHeight="1">
      <c r="A181" s="3" t="s">
        <v>214</v>
      </c>
      <c r="B181" s="3">
        <f>MATCH("apple",Inputs!G1:G4,0)</f>
        <v>1</v>
      </c>
      <c r="C181" s="3">
        <f t="shared" si="1"/>
        <v>1</v>
      </c>
      <c r="D181" s="3" t="str">
        <f t="shared" si="2"/>
        <v/>
      </c>
      <c r="E181" s="3">
        <f t="shared" si="3"/>
        <v>1</v>
      </c>
    </row>
    <row r="182" ht="15.75" customHeight="1">
      <c r="A182" s="1" t="s">
        <v>215</v>
      </c>
      <c r="B182" s="1">
        <f t="array" ref="B182">_xlfn.XLOOKUP("apple",Inputs!G1:G4,Inputs!H1:H4,,0,-1)</f>
        <v>400</v>
      </c>
      <c r="C182" s="1">
        <f t="shared" si="1"/>
        <v>1</v>
      </c>
      <c r="D182" s="1" t="str">
        <f t="shared" si="2"/>
        <v/>
      </c>
      <c r="E182" s="1">
        <f t="shared" si="3"/>
        <v>3</v>
      </c>
    </row>
    <row r="183" ht="15.75" customHeight="1">
      <c r="A183" s="3" t="s">
        <v>216</v>
      </c>
      <c r="B183" s="3">
        <f>VLOOKUP("*an*",Inputs!G1:H4,2,FALSE)</f>
        <v>200</v>
      </c>
      <c r="C183" s="3">
        <f t="shared" si="1"/>
        <v>1</v>
      </c>
      <c r="D183" s="3" t="str">
        <f t="shared" si="2"/>
        <v/>
      </c>
      <c r="E183" s="3">
        <f t="shared" si="3"/>
        <v>3</v>
      </c>
    </row>
    <row r="184" ht="15.75" customHeight="1">
      <c r="A184" s="1" t="s">
        <v>217</v>
      </c>
      <c r="B184" s="1">
        <f>MATCH(100,Inputs!C2:C5,0)</f>
        <v>3</v>
      </c>
      <c r="C184" s="1">
        <f t="shared" si="1"/>
        <v>1</v>
      </c>
      <c r="D184" s="1" t="str">
        <f t="shared" si="2"/>
        <v/>
      </c>
      <c r="E184" s="1">
        <f t="shared" si="3"/>
        <v>1</v>
      </c>
    </row>
    <row r="185" ht="15.75" customHeight="1">
      <c r="A185" s="3" t="s">
        <v>218</v>
      </c>
      <c r="B185" s="3">
        <f>VLOOKUP(99.9999999999999,Inputs!C2:D5,2,TRUE)</f>
        <v>11</v>
      </c>
      <c r="C185" s="3">
        <f t="shared" si="1"/>
        <v>1</v>
      </c>
      <c r="D185" s="3" t="str">
        <f t="shared" si="2"/>
        <v/>
      </c>
      <c r="E185" s="3">
        <f t="shared" si="3"/>
        <v>2</v>
      </c>
    </row>
    <row r="186" ht="15.75" customHeight="1">
      <c r="A186" s="1" t="s">
        <v>219</v>
      </c>
      <c r="B186" s="1">
        <f>ROWS(Inputs!B:B)</f>
        <v>1000</v>
      </c>
      <c r="C186" s="1">
        <f t="shared" si="1"/>
        <v>1</v>
      </c>
      <c r="D186" s="1" t="str">
        <f t="shared" si="2"/>
        <v/>
      </c>
      <c r="E186" s="1">
        <f t="shared" si="3"/>
        <v>4</v>
      </c>
    </row>
    <row r="187" ht="15.75" customHeight="1">
      <c r="A187" s="3" t="s">
        <v>220</v>
      </c>
      <c r="B187" s="3">
        <f>COUNTA(Inputs!B:B)</f>
        <v>5</v>
      </c>
      <c r="C187" s="3">
        <f t="shared" si="1"/>
        <v>1</v>
      </c>
      <c r="D187" s="3" t="str">
        <f t="shared" si="2"/>
        <v/>
      </c>
      <c r="E187" s="3">
        <f t="shared" si="3"/>
        <v>1</v>
      </c>
    </row>
    <row r="188" ht="15.75" customHeight="1">
      <c r="A188" s="1" t="s">
        <v>221</v>
      </c>
      <c r="B188" s="1">
        <f t="array" ref="B188">MATCH(10,{30,20,10},-1)</f>
        <v>3</v>
      </c>
      <c r="C188" s="1">
        <f t="shared" si="1"/>
        <v>1</v>
      </c>
      <c r="D188" s="1" t="str">
        <f t="shared" si="2"/>
        <v/>
      </c>
      <c r="E188" s="1">
        <f t="shared" si="3"/>
        <v>1</v>
      </c>
    </row>
    <row r="189" ht="15.75" customHeight="1">
      <c r="A189" s="3" t="s">
        <v>222</v>
      </c>
      <c r="B189" s="3">
        <f t="array" ref="B189">MATCH(25,{30,20,10},-1)</f>
        <v>1</v>
      </c>
      <c r="C189" s="3">
        <f t="shared" si="1"/>
        <v>1</v>
      </c>
      <c r="D189" s="3" t="str">
        <f t="shared" si="2"/>
        <v/>
      </c>
      <c r="E189" s="3">
        <f t="shared" si="3"/>
        <v>1</v>
      </c>
    </row>
    <row r="190" ht="15.75" customHeight="1">
      <c r="A190" s="1" t="s">
        <v>223</v>
      </c>
      <c r="B190" s="1">
        <f>VLOOKUP("BANANA",Inputs!G1:H4,2,FALSE)</f>
        <v>200</v>
      </c>
      <c r="C190" s="1">
        <f t="shared" si="1"/>
        <v>1</v>
      </c>
      <c r="D190" s="1" t="str">
        <f t="shared" si="2"/>
        <v/>
      </c>
      <c r="E190" s="1">
        <f t="shared" si="3"/>
        <v>3</v>
      </c>
    </row>
    <row r="191" ht="15.75" customHeight="1">
      <c r="A191" s="3" t="s">
        <v>224</v>
      </c>
      <c r="B191" s="3">
        <f>HLOOKUP("C",Inputs!K1:N2,2,FALSE)</f>
        <v>3</v>
      </c>
      <c r="C191" s="3">
        <f t="shared" si="1"/>
        <v>1</v>
      </c>
      <c r="D191" s="3" t="str">
        <f t="shared" si="2"/>
        <v/>
      </c>
      <c r="E191" s="3">
        <f t="shared" si="3"/>
        <v>1</v>
      </c>
    </row>
    <row r="192" ht="15.75" customHeight="1">
      <c r="A192" s="1" t="s">
        <v>225</v>
      </c>
      <c r="B192" s="1">
        <f>VLOOKUP(500,Inputs!C2:D5,2,TRUE)</f>
        <v>8.4</v>
      </c>
      <c r="C192" s="1">
        <f t="shared" si="1"/>
        <v>1</v>
      </c>
      <c r="D192" s="1" t="str">
        <f t="shared" si="2"/>
        <v/>
      </c>
      <c r="E192" s="1">
        <f t="shared" si="3"/>
        <v>3</v>
      </c>
    </row>
    <row r="193" ht="15.75" customHeight="1">
      <c r="A193" s="3" t="s">
        <v>226</v>
      </c>
      <c r="B193" s="3" t="str">
        <f>Inputs!J1</f>
        <v>=1+1</v>
      </c>
      <c r="C193" s="3">
        <f t="shared" si="1"/>
        <v>2</v>
      </c>
      <c r="D193" s="3" t="str">
        <f t="shared" si="2"/>
        <v/>
      </c>
      <c r="E193" s="3">
        <f t="shared" si="3"/>
        <v>4</v>
      </c>
    </row>
    <row r="194" ht="15.75" customHeight="1">
      <c r="A194" s="1" t="s">
        <v>227</v>
      </c>
      <c r="B194" s="1" t="str">
        <f>Inputs!J1&amp;""</f>
        <v>=1+1</v>
      </c>
      <c r="C194" s="1">
        <f t="shared" si="1"/>
        <v>2</v>
      </c>
      <c r="D194" s="1" t="str">
        <f t="shared" si="2"/>
        <v/>
      </c>
      <c r="E194" s="1">
        <f t="shared" si="3"/>
        <v>4</v>
      </c>
    </row>
    <row r="195" ht="15.75" customHeight="1">
      <c r="A195" s="3" t="s">
        <v>228</v>
      </c>
      <c r="B195" s="3">
        <f>LEN(Inputs!J1)</f>
        <v>4</v>
      </c>
      <c r="C195" s="3">
        <f t="shared" si="1"/>
        <v>1</v>
      </c>
      <c r="D195" s="3" t="str">
        <f t="shared" si="2"/>
        <v/>
      </c>
      <c r="E195" s="3">
        <f t="shared" si="3"/>
        <v>1</v>
      </c>
    </row>
    <row r="196" ht="15.75" customHeight="1">
      <c r="A196" s="1" t="s">
        <v>229</v>
      </c>
      <c r="B196" s="1" t="b">
        <f>ISTEXT(Inputs!J1)</f>
        <v>1</v>
      </c>
      <c r="C196" s="1">
        <f t="shared" si="1"/>
        <v>4</v>
      </c>
      <c r="D196" s="1" t="str">
        <f t="shared" si="2"/>
        <v/>
      </c>
      <c r="E196" s="1">
        <f t="shared" si="3"/>
        <v>4</v>
      </c>
    </row>
    <row r="197" ht="15.75" customHeight="1">
      <c r="A197" s="3" t="s">
        <v>230</v>
      </c>
      <c r="B197" s="3" t="str">
        <f>Inputs!J2&amp;""</f>
        <v>+1</v>
      </c>
      <c r="C197" s="3">
        <f t="shared" si="1"/>
        <v>2</v>
      </c>
      <c r="D197" s="3" t="str">
        <f t="shared" si="2"/>
        <v/>
      </c>
      <c r="E197" s="3">
        <f t="shared" si="3"/>
        <v>2</v>
      </c>
    </row>
    <row r="198" ht="15.75" customHeight="1">
      <c r="A198" s="1" t="s">
        <v>231</v>
      </c>
      <c r="B198" s="1" t="b">
        <f>ISNUMBER(Inputs!J2)</f>
        <v>0</v>
      </c>
      <c r="C198" s="1">
        <f t="shared" si="1"/>
        <v>4</v>
      </c>
      <c r="D198" s="1" t="str">
        <f t="shared" si="2"/>
        <v/>
      </c>
      <c r="E198" s="1">
        <f t="shared" si="3"/>
        <v>5</v>
      </c>
    </row>
    <row r="199" ht="15.75" customHeight="1">
      <c r="A199" s="3" t="s">
        <v>232</v>
      </c>
      <c r="B199" s="3" t="str">
        <f>Inputs!J3</f>
        <v>@SUM(A1)</v>
      </c>
      <c r="C199" s="3">
        <f t="shared" si="1"/>
        <v>2</v>
      </c>
      <c r="D199" s="3" t="str">
        <f t="shared" si="2"/>
        <v/>
      </c>
      <c r="E199" s="3">
        <f t="shared" si="3"/>
        <v>8</v>
      </c>
    </row>
    <row r="200" ht="15.75" customHeight="1">
      <c r="A200" s="1" t="s">
        <v>233</v>
      </c>
      <c r="B200" s="1">
        <f>Inputs!J4+0</f>
        <v>-1</v>
      </c>
      <c r="C200" s="1">
        <f t="shared" si="1"/>
        <v>1</v>
      </c>
      <c r="D200" s="1" t="str">
        <f t="shared" si="2"/>
        <v/>
      </c>
      <c r="E200" s="1">
        <f t="shared" si="3"/>
        <v>2</v>
      </c>
    </row>
    <row r="201" ht="15.75" customHeight="1">
      <c r="A201" s="3" t="s">
        <v>234</v>
      </c>
      <c r="B201" s="3">
        <f>LEN(Inputs!J5)</f>
        <v>2</v>
      </c>
      <c r="C201" s="3">
        <f t="shared" si="1"/>
        <v>1</v>
      </c>
      <c r="D201" s="3" t="str">
        <f t="shared" si="2"/>
        <v/>
      </c>
      <c r="E201" s="3">
        <f t="shared" si="3"/>
        <v>1</v>
      </c>
    </row>
    <row r="202" ht="15.75" customHeight="1">
      <c r="A202" s="1" t="s">
        <v>235</v>
      </c>
      <c r="B202" s="1">
        <f>LEN(CHAR(13)&amp;"x")</f>
        <v>2</v>
      </c>
      <c r="C202" s="1">
        <f t="shared" si="1"/>
        <v>1</v>
      </c>
      <c r="D202" s="1" t="str">
        <f t="shared" si="2"/>
        <v/>
      </c>
      <c r="E202" s="1">
        <f t="shared" si="3"/>
        <v>1</v>
      </c>
    </row>
    <row r="203" ht="15.75" customHeight="1">
      <c r="A203" s="3" t="s">
        <v>236</v>
      </c>
      <c r="B203" s="3">
        <f>COUNTIF(Inputs!J1:J6,"=1+1")</f>
        <v>0</v>
      </c>
      <c r="C203" s="3">
        <f t="shared" si="1"/>
        <v>1</v>
      </c>
      <c r="D203" s="3" t="str">
        <f t="shared" si="2"/>
        <v/>
      </c>
      <c r="E203" s="3">
        <f t="shared" si="3"/>
        <v>1</v>
      </c>
    </row>
    <row r="204" ht="15.75" customHeight="1">
      <c r="A204" s="1" t="s">
        <v>237</v>
      </c>
      <c r="B204" s="1">
        <f>COUNTIF(Inputs!J1:J6,"==1+1")</f>
        <v>1</v>
      </c>
      <c r="C204" s="1">
        <f t="shared" si="1"/>
        <v>1</v>
      </c>
      <c r="D204" s="1" t="str">
        <f t="shared" si="2"/>
        <v/>
      </c>
      <c r="E204" s="1">
        <f t="shared" si="3"/>
        <v>1</v>
      </c>
    </row>
    <row r="205" ht="15.75" customHeight="1">
      <c r="A205" s="3" t="s">
        <v>238</v>
      </c>
      <c r="B205" s="3">
        <f>COUNTIF(Inputs!P1:P4,Inputs!P2)</f>
        <v>0</v>
      </c>
      <c r="C205" s="3">
        <f t="shared" si="1"/>
        <v>1</v>
      </c>
      <c r="D205" s="3" t="str">
        <f t="shared" si="2"/>
        <v/>
      </c>
      <c r="E205" s="3">
        <f t="shared" si="3"/>
        <v>1</v>
      </c>
    </row>
    <row r="206" ht="15.75" customHeight="1">
      <c r="A206" s="1" t="s">
        <v>239</v>
      </c>
      <c r="B206" s="1">
        <f>SUMIF(Inputs!G1:G4,Inputs!P2,Inputs!H1:H4)</f>
        <v>0</v>
      </c>
      <c r="C206" s="1">
        <f t="shared" si="1"/>
        <v>1</v>
      </c>
      <c r="D206" s="1" t="str">
        <f t="shared" si="2"/>
        <v/>
      </c>
      <c r="E206" s="1">
        <f t="shared" si="3"/>
        <v>1</v>
      </c>
    </row>
    <row r="207" ht="15.75" customHeight="1">
      <c r="A207" s="3" t="s">
        <v>240</v>
      </c>
      <c r="B207" s="3">
        <f>COUNTIF(Inputs!G1:G4,Inputs!P3)</f>
        <v>2</v>
      </c>
      <c r="C207" s="3">
        <f t="shared" si="1"/>
        <v>1</v>
      </c>
      <c r="D207" s="3" t="str">
        <f t="shared" si="2"/>
        <v/>
      </c>
      <c r="E207" s="3">
        <f t="shared" si="3"/>
        <v>1</v>
      </c>
    </row>
    <row r="208" ht="15.75" customHeight="1">
      <c r="A208" s="1" t="s">
        <v>241</v>
      </c>
      <c r="B208" s="1">
        <f>SUMIF(Inputs!H1:H4,Inputs!P1)</f>
        <v>900</v>
      </c>
      <c r="C208" s="1">
        <f t="shared" si="1"/>
        <v>1</v>
      </c>
      <c r="D208" s="1" t="str">
        <f t="shared" si="2"/>
        <v/>
      </c>
      <c r="E208" s="1">
        <f t="shared" si="3"/>
        <v>3</v>
      </c>
    </row>
    <row r="209" ht="15.75" customHeight="1">
      <c r="A209" s="3" t="s">
        <v>242</v>
      </c>
      <c r="B209" s="3" t="str">
        <f>VLOOKUP(Inputs!J1,Inputs!J1:J6,1,FALSE)</f>
        <v>=1+1</v>
      </c>
      <c r="C209" s="3">
        <f t="shared" si="1"/>
        <v>2</v>
      </c>
      <c r="D209" s="3" t="str">
        <f t="shared" si="2"/>
        <v/>
      </c>
      <c r="E209" s="3">
        <f t="shared" si="3"/>
        <v>4</v>
      </c>
    </row>
    <row r="210" ht="15.75" customHeight="1">
      <c r="A210" s="1" t="s">
        <v>243</v>
      </c>
      <c r="B210" s="1">
        <f>MATCH(Inputs!J6,Inputs!J1:J6,0)</f>
        <v>6</v>
      </c>
      <c r="C210" s="1">
        <f t="shared" si="1"/>
        <v>1</v>
      </c>
      <c r="D210" s="1" t="str">
        <f t="shared" si="2"/>
        <v/>
      </c>
      <c r="E210" s="1">
        <f t="shared" si="3"/>
        <v>1</v>
      </c>
    </row>
    <row r="211" ht="15.75" customHeight="1">
      <c r="A211" s="3" t="s">
        <v>244</v>
      </c>
      <c r="B211" s="6" t="str">
        <f>HYPERLINK("http://example.com","label")</f>
        <v>label</v>
      </c>
      <c r="C211" s="3">
        <f t="shared" si="1"/>
        <v>2</v>
      </c>
      <c r="D211" s="3" t="str">
        <f t="shared" si="2"/>
        <v/>
      </c>
      <c r="E211" s="3">
        <f t="shared" si="3"/>
        <v>5</v>
      </c>
    </row>
    <row r="212" ht="15.75" customHeight="1">
      <c r="A212" s="1" t="s">
        <v>245</v>
      </c>
      <c r="B212" s="1" t="str">
        <f>VALUE(Inputs!J1)</f>
        <v>#VALUE!</v>
      </c>
      <c r="C212" s="1">
        <f t="shared" si="1"/>
        <v>16</v>
      </c>
      <c r="D212" s="1">
        <f t="shared" si="2"/>
        <v>3</v>
      </c>
      <c r="E212" s="1" t="str">
        <f t="shared" si="3"/>
        <v>#VALUE!</v>
      </c>
    </row>
    <row r="213" ht="15.75" customHeight="1">
      <c r="A213" s="3" t="s">
        <v>246</v>
      </c>
      <c r="B213" s="3" t="b">
        <f>Inputs!J1="=1+1"</f>
        <v>1</v>
      </c>
      <c r="C213" s="3">
        <f t="shared" si="1"/>
        <v>4</v>
      </c>
      <c r="D213" s="3" t="str">
        <f t="shared" si="2"/>
        <v/>
      </c>
      <c r="E213" s="3">
        <f t="shared" si="3"/>
        <v>4</v>
      </c>
    </row>
    <row r="214" ht="15.75" customHeight="1">
      <c r="A214" s="1" t="s">
        <v>247</v>
      </c>
      <c r="B214" s="1" t="str">
        <f>TEXT(5,Inputs!P4)</f>
        <v>5.00</v>
      </c>
      <c r="C214" s="1">
        <f t="shared" si="1"/>
        <v>2</v>
      </c>
      <c r="D214" s="1" t="str">
        <f t="shared" si="2"/>
        <v/>
      </c>
      <c r="E214" s="1">
        <f t="shared" si="3"/>
        <v>4</v>
      </c>
    </row>
    <row r="215" ht="15.75" customHeight="1">
      <c r="A215" s="3" t="s">
        <v>248</v>
      </c>
      <c r="B215" s="3" t="str">
        <f>IFERROR(Inputs!J1+0,"refused")</f>
        <v>refused</v>
      </c>
      <c r="C215" s="3">
        <f t="shared" si="1"/>
        <v>2</v>
      </c>
      <c r="D215" s="3" t="str">
        <f t="shared" si="2"/>
        <v/>
      </c>
      <c r="E215" s="3">
        <f t="shared" si="3"/>
        <v>7</v>
      </c>
    </row>
    <row r="216" ht="15.75" customHeight="1">
      <c r="A216" s="1" t="s">
        <v>249</v>
      </c>
      <c r="B216" s="1">
        <f>LEN(Inputs!J6)</f>
        <v>15</v>
      </c>
      <c r="C216" s="1">
        <f t="shared" si="1"/>
        <v>1</v>
      </c>
      <c r="D216" s="1" t="str">
        <f t="shared" si="2"/>
        <v/>
      </c>
      <c r="E216" s="1">
        <f t="shared" si="3"/>
        <v>2</v>
      </c>
    </row>
    <row r="217" ht="15.75" customHeight="1">
      <c r="A217" s="3" t="s">
        <v>250</v>
      </c>
      <c r="B217" s="3">
        <f>ADD(1,2)</f>
        <v>3</v>
      </c>
      <c r="C217" s="3">
        <f t="shared" si="1"/>
        <v>1</v>
      </c>
      <c r="D217" s="3" t="str">
        <f t="shared" si="2"/>
        <v/>
      </c>
      <c r="E217" s="3">
        <f t="shared" si="3"/>
        <v>1</v>
      </c>
    </row>
    <row r="218" ht="15.75" customHeight="1">
      <c r="A218" s="1" t="s">
        <v>251</v>
      </c>
      <c r="B218" s="1">
        <f>ADD("1",2)</f>
        <v>3</v>
      </c>
      <c r="C218" s="1">
        <f t="shared" si="1"/>
        <v>1</v>
      </c>
      <c r="D218" s="1" t="str">
        <f t="shared" si="2"/>
        <v/>
      </c>
      <c r="E218" s="1">
        <f t="shared" si="3"/>
        <v>1</v>
      </c>
    </row>
    <row r="219" ht="15.75" customHeight="1">
      <c r="A219" s="3" t="s">
        <v>252</v>
      </c>
      <c r="B219" s="3" t="str">
        <f>ADD(1,"x")</f>
        <v>#VALUE!</v>
      </c>
      <c r="C219" s="3">
        <f t="shared" si="1"/>
        <v>16</v>
      </c>
      <c r="D219" s="3">
        <f t="shared" si="2"/>
        <v>3</v>
      </c>
      <c r="E219" s="3" t="str">
        <f t="shared" si="3"/>
        <v>#VALUE!</v>
      </c>
    </row>
    <row r="220" ht="15.75" customHeight="1">
      <c r="A220" s="1" t="s">
        <v>253</v>
      </c>
      <c r="B220" s="1">
        <f>MINUS(5,3)</f>
        <v>2</v>
      </c>
      <c r="C220" s="1">
        <f t="shared" si="1"/>
        <v>1</v>
      </c>
      <c r="D220" s="1" t="str">
        <f t="shared" si="2"/>
        <v/>
      </c>
      <c r="E220" s="1">
        <f t="shared" si="3"/>
        <v>1</v>
      </c>
    </row>
    <row r="221" ht="15.75" customHeight="1">
      <c r="A221" s="3" t="s">
        <v>254</v>
      </c>
      <c r="B221" s="3">
        <f>MINUS(DATE(2026,10,27),DATE(2026,10,1))</f>
        <v>26</v>
      </c>
      <c r="C221" s="3">
        <f t="shared" si="1"/>
        <v>1</v>
      </c>
      <c r="D221" s="3" t="str">
        <f t="shared" si="2"/>
        <v/>
      </c>
      <c r="E221" s="3">
        <f t="shared" si="3"/>
        <v>2</v>
      </c>
    </row>
    <row r="222" ht="15.75" customHeight="1">
      <c r="A222" s="1" t="s">
        <v>255</v>
      </c>
      <c r="B222" s="1">
        <f>MINUS(TRUE,1)</f>
        <v>0</v>
      </c>
      <c r="C222" s="1">
        <f t="shared" si="1"/>
        <v>1</v>
      </c>
      <c r="D222" s="1" t="str">
        <f t="shared" si="2"/>
        <v/>
      </c>
      <c r="E222" s="1">
        <f t="shared" si="3"/>
        <v>1</v>
      </c>
    </row>
    <row r="223" ht="15.75" customHeight="1">
      <c r="A223" s="3" t="s">
        <v>256</v>
      </c>
      <c r="B223" s="3">
        <f>MULTIPLY(2,3)</f>
        <v>6</v>
      </c>
      <c r="C223" s="3">
        <f t="shared" si="1"/>
        <v>1</v>
      </c>
      <c r="D223" s="3" t="str">
        <f t="shared" si="2"/>
        <v/>
      </c>
      <c r="E223" s="3">
        <f t="shared" si="3"/>
        <v>1</v>
      </c>
    </row>
    <row r="224" ht="15.75" customHeight="1">
      <c r="A224" s="1" t="s">
        <v>257</v>
      </c>
      <c r="B224" s="1">
        <f>MULTIPLY(TRUE,3)</f>
        <v>3</v>
      </c>
      <c r="C224" s="1">
        <f t="shared" si="1"/>
        <v>1</v>
      </c>
      <c r="D224" s="1" t="str">
        <f t="shared" si="2"/>
        <v/>
      </c>
      <c r="E224" s="1">
        <f t="shared" si="3"/>
        <v>1</v>
      </c>
    </row>
    <row r="225" ht="15.75" customHeight="1">
      <c r="A225" s="3" t="s">
        <v>258</v>
      </c>
      <c r="B225" s="3">
        <f>MULTIPLY(Inputs!O1,3)</f>
        <v>0</v>
      </c>
      <c r="C225" s="3">
        <f t="shared" si="1"/>
        <v>1</v>
      </c>
      <c r="D225" s="3" t="str">
        <f t="shared" si="2"/>
        <v/>
      </c>
      <c r="E225" s="3">
        <f t="shared" si="3"/>
        <v>1</v>
      </c>
    </row>
    <row r="226" ht="15.75" customHeight="1">
      <c r="A226" s="1" t="s">
        <v>259</v>
      </c>
      <c r="B226" s="1">
        <f>DIVIDE(6,3)</f>
        <v>2</v>
      </c>
      <c r="C226" s="1">
        <f t="shared" si="1"/>
        <v>1</v>
      </c>
      <c r="D226" s="1" t="str">
        <f t="shared" si="2"/>
        <v/>
      </c>
      <c r="E226" s="1">
        <f t="shared" si="3"/>
        <v>1</v>
      </c>
    </row>
    <row r="227" ht="15.75" customHeight="1">
      <c r="A227" s="3" t="s">
        <v>260</v>
      </c>
      <c r="B227" s="3" t="str">
        <f>DIVIDE(1,0)</f>
        <v>#DIV/0!</v>
      </c>
      <c r="C227" s="3">
        <f t="shared" si="1"/>
        <v>16</v>
      </c>
      <c r="D227" s="3">
        <f t="shared" si="2"/>
        <v>2</v>
      </c>
      <c r="E227" s="3" t="str">
        <f t="shared" si="3"/>
        <v>#DIV/0!</v>
      </c>
    </row>
    <row r="228" ht="15.75" customHeight="1">
      <c r="A228" s="1" t="s">
        <v>261</v>
      </c>
      <c r="B228" s="1">
        <f>DIVIDE(1,3)</f>
        <v>0.3333333333</v>
      </c>
      <c r="C228" s="1">
        <f t="shared" si="1"/>
        <v>1</v>
      </c>
      <c r="D228" s="1" t="str">
        <f t="shared" si="2"/>
        <v/>
      </c>
      <c r="E228" s="1">
        <f t="shared" si="3"/>
        <v>17</v>
      </c>
    </row>
    <row r="229" ht="15.75" customHeight="1">
      <c r="A229" s="3" t="s">
        <v>262</v>
      </c>
      <c r="B229" s="3">
        <f>POW(2,3)</f>
        <v>8</v>
      </c>
      <c r="C229" s="3">
        <f t="shared" si="1"/>
        <v>1</v>
      </c>
      <c r="D229" s="3" t="str">
        <f t="shared" si="2"/>
        <v/>
      </c>
      <c r="E229" s="3">
        <f t="shared" si="3"/>
        <v>1</v>
      </c>
    </row>
    <row r="230" ht="15.75" customHeight="1">
      <c r="A230" s="1" t="s">
        <v>263</v>
      </c>
      <c r="B230" s="1">
        <f>POW(-8,1/3)</f>
        <v>-2</v>
      </c>
      <c r="C230" s="1">
        <f t="shared" si="1"/>
        <v>1</v>
      </c>
      <c r="D230" s="1" t="str">
        <f t="shared" si="2"/>
        <v/>
      </c>
      <c r="E230" s="1">
        <f t="shared" si="3"/>
        <v>2</v>
      </c>
    </row>
    <row r="231" ht="15.75" customHeight="1">
      <c r="A231" s="3" t="s">
        <v>264</v>
      </c>
      <c r="B231" s="3">
        <f>POW(4,0.5)</f>
        <v>2</v>
      </c>
      <c r="C231" s="3">
        <f t="shared" si="1"/>
        <v>1</v>
      </c>
      <c r="D231" s="3" t="str">
        <f t="shared" si="2"/>
        <v/>
      </c>
      <c r="E231" s="3">
        <f t="shared" si="3"/>
        <v>1</v>
      </c>
    </row>
    <row r="232" ht="15.75" customHeight="1">
      <c r="A232" s="1" t="s">
        <v>265</v>
      </c>
      <c r="B232" s="1">
        <f>UMINUS(3)</f>
        <v>-3</v>
      </c>
      <c r="C232" s="1">
        <f t="shared" si="1"/>
        <v>1</v>
      </c>
      <c r="D232" s="1" t="str">
        <f t="shared" si="2"/>
        <v/>
      </c>
      <c r="E232" s="1">
        <f t="shared" si="3"/>
        <v>2</v>
      </c>
    </row>
    <row r="233" ht="15.75" customHeight="1">
      <c r="A233" s="3" t="s">
        <v>266</v>
      </c>
      <c r="B233" s="3">
        <f>UMINUS("3")</f>
        <v>-3</v>
      </c>
      <c r="C233" s="3">
        <f t="shared" si="1"/>
        <v>1</v>
      </c>
      <c r="D233" s="3" t="str">
        <f t="shared" si="2"/>
        <v/>
      </c>
      <c r="E233" s="3">
        <f t="shared" si="3"/>
        <v>2</v>
      </c>
    </row>
    <row r="234" ht="15.75" customHeight="1">
      <c r="A234" s="1" t="s">
        <v>267</v>
      </c>
      <c r="B234" s="1">
        <f>UMINUS(TRUE)</f>
        <v>-1</v>
      </c>
      <c r="C234" s="1">
        <f t="shared" si="1"/>
        <v>1</v>
      </c>
      <c r="D234" s="1" t="str">
        <f t="shared" si="2"/>
        <v/>
      </c>
      <c r="E234" s="1">
        <f t="shared" si="3"/>
        <v>2</v>
      </c>
    </row>
    <row r="235" ht="15.75" customHeight="1">
      <c r="A235" s="3" t="s">
        <v>268</v>
      </c>
      <c r="B235" s="3">
        <f>UPLUS(3)</f>
        <v>3</v>
      </c>
      <c r="C235" s="3">
        <f t="shared" si="1"/>
        <v>1</v>
      </c>
      <c r="D235" s="3" t="str">
        <f t="shared" si="2"/>
        <v/>
      </c>
      <c r="E235" s="3">
        <f t="shared" si="3"/>
        <v>1</v>
      </c>
    </row>
    <row r="236" ht="15.75" customHeight="1">
      <c r="A236" s="1" t="s">
        <v>269</v>
      </c>
      <c r="B236" s="1" t="str">
        <f>UPLUS("abc")</f>
        <v>abc</v>
      </c>
      <c r="C236" s="1">
        <f t="shared" si="1"/>
        <v>2</v>
      </c>
      <c r="D236" s="1" t="str">
        <f t="shared" si="2"/>
        <v/>
      </c>
      <c r="E236" s="1">
        <f t="shared" si="3"/>
        <v>3</v>
      </c>
    </row>
    <row r="237" ht="15.75" customHeight="1">
      <c r="A237" s="3" t="s">
        <v>270</v>
      </c>
      <c r="B237" s="3" t="b">
        <f>UPLUS(TRUE)</f>
        <v>1</v>
      </c>
      <c r="C237" s="3">
        <f t="shared" si="1"/>
        <v>4</v>
      </c>
      <c r="D237" s="3" t="str">
        <f t="shared" si="2"/>
        <v/>
      </c>
      <c r="E237" s="3">
        <f t="shared" si="3"/>
        <v>4</v>
      </c>
    </row>
    <row r="238" ht="15.75" customHeight="1">
      <c r="A238" s="1" t="s">
        <v>271</v>
      </c>
      <c r="B238" s="1">
        <f>UNARY_PERCENT(50)</f>
        <v>0.5</v>
      </c>
      <c r="C238" s="1">
        <f t="shared" si="1"/>
        <v>1</v>
      </c>
      <c r="D238" s="1" t="str">
        <f t="shared" si="2"/>
        <v/>
      </c>
      <c r="E238" s="1">
        <f t="shared" si="3"/>
        <v>3</v>
      </c>
    </row>
    <row r="239" ht="15.75" customHeight="1">
      <c r="A239" s="3" t="s">
        <v>272</v>
      </c>
      <c r="B239" s="3">
        <f>UNARY_PERCENT("50")</f>
        <v>0.5</v>
      </c>
      <c r="C239" s="3">
        <f t="shared" si="1"/>
        <v>1</v>
      </c>
      <c r="D239" s="3" t="str">
        <f t="shared" si="2"/>
        <v/>
      </c>
      <c r="E239" s="3">
        <f t="shared" si="3"/>
        <v>3</v>
      </c>
    </row>
    <row r="240" ht="15.75" customHeight="1">
      <c r="A240" s="1" t="s">
        <v>273</v>
      </c>
      <c r="B240" s="1">
        <f>UNARY_PERCENT(-5)</f>
        <v>-0.05</v>
      </c>
      <c r="C240" s="1">
        <f t="shared" si="1"/>
        <v>1</v>
      </c>
      <c r="D240" s="1" t="str">
        <f t="shared" si="2"/>
        <v/>
      </c>
      <c r="E240" s="1">
        <f t="shared" si="3"/>
        <v>5</v>
      </c>
    </row>
    <row r="241" ht="15.75" customHeight="1">
      <c r="A241" s="3" t="s">
        <v>274</v>
      </c>
      <c r="B241" s="3" t="b">
        <f>EQ(1,1)</f>
        <v>1</v>
      </c>
      <c r="C241" s="3">
        <f t="shared" si="1"/>
        <v>4</v>
      </c>
      <c r="D241" s="3" t="str">
        <f t="shared" si="2"/>
        <v/>
      </c>
      <c r="E241" s="3">
        <f t="shared" si="3"/>
        <v>4</v>
      </c>
    </row>
    <row r="242" ht="15.75" customHeight="1">
      <c r="A242" s="1" t="s">
        <v>275</v>
      </c>
      <c r="B242" s="1" t="b">
        <f>EQ("a","A")</f>
        <v>1</v>
      </c>
      <c r="C242" s="1">
        <f t="shared" si="1"/>
        <v>4</v>
      </c>
      <c r="D242" s="1" t="str">
        <f t="shared" si="2"/>
        <v/>
      </c>
      <c r="E242" s="1">
        <f t="shared" si="3"/>
        <v>4</v>
      </c>
    </row>
    <row r="243" ht="15.75" customHeight="1">
      <c r="A243" s="3" t="s">
        <v>276</v>
      </c>
      <c r="B243" s="3" t="b">
        <f>EQ(1,"1")</f>
        <v>0</v>
      </c>
      <c r="C243" s="3">
        <f t="shared" si="1"/>
        <v>4</v>
      </c>
      <c r="D243" s="3" t="str">
        <f t="shared" si="2"/>
        <v/>
      </c>
      <c r="E243" s="3">
        <f t="shared" si="3"/>
        <v>5</v>
      </c>
    </row>
    <row r="244" ht="15.75" customHeight="1">
      <c r="A244" s="1" t="s">
        <v>277</v>
      </c>
      <c r="B244" s="1" t="b">
        <f>NE(1,2)</f>
        <v>1</v>
      </c>
      <c r="C244" s="1">
        <f t="shared" si="1"/>
        <v>4</v>
      </c>
      <c r="D244" s="1" t="str">
        <f t="shared" si="2"/>
        <v/>
      </c>
      <c r="E244" s="1">
        <f t="shared" si="3"/>
        <v>4</v>
      </c>
    </row>
    <row r="245" ht="15.75" customHeight="1">
      <c r="A245" s="3" t="s">
        <v>278</v>
      </c>
      <c r="B245" s="3" t="b">
        <f>NE("a","A")</f>
        <v>0</v>
      </c>
      <c r="C245" s="3">
        <f t="shared" si="1"/>
        <v>4</v>
      </c>
      <c r="D245" s="3" t="str">
        <f t="shared" si="2"/>
        <v/>
      </c>
      <c r="E245" s="3">
        <f t="shared" si="3"/>
        <v>5</v>
      </c>
    </row>
    <row r="246" ht="15.75" customHeight="1">
      <c r="A246" s="1" t="s">
        <v>279</v>
      </c>
      <c r="B246" s="1" t="b">
        <f>NE(TRUE,1)</f>
        <v>1</v>
      </c>
      <c r="C246" s="1">
        <f t="shared" si="1"/>
        <v>4</v>
      </c>
      <c r="D246" s="1" t="str">
        <f t="shared" si="2"/>
        <v/>
      </c>
      <c r="E246" s="1">
        <f t="shared" si="3"/>
        <v>4</v>
      </c>
    </row>
    <row r="247" ht="15.75" customHeight="1">
      <c r="A247" s="3" t="s">
        <v>280</v>
      </c>
      <c r="B247" s="3" t="b">
        <f>GT(2,1)</f>
        <v>1</v>
      </c>
      <c r="C247" s="3">
        <f t="shared" si="1"/>
        <v>4</v>
      </c>
      <c r="D247" s="3" t="str">
        <f t="shared" si="2"/>
        <v/>
      </c>
      <c r="E247" s="3">
        <f t="shared" si="3"/>
        <v>4</v>
      </c>
    </row>
    <row r="248" ht="15.75" customHeight="1">
      <c r="A248" s="1" t="s">
        <v>281</v>
      </c>
      <c r="B248" s="1" t="b">
        <f>GT("b","a")</f>
        <v>1</v>
      </c>
      <c r="C248" s="1">
        <f t="shared" si="1"/>
        <v>4</v>
      </c>
      <c r="D248" s="1" t="str">
        <f t="shared" si="2"/>
        <v/>
      </c>
      <c r="E248" s="1">
        <f t="shared" si="3"/>
        <v>4</v>
      </c>
    </row>
    <row r="249" ht="15.75" customHeight="1">
      <c r="A249" s="3" t="s">
        <v>282</v>
      </c>
      <c r="B249" s="3" t="b">
        <f>GT("a",1)</f>
        <v>1</v>
      </c>
      <c r="C249" s="3">
        <f t="shared" si="1"/>
        <v>4</v>
      </c>
      <c r="D249" s="3" t="str">
        <f t="shared" si="2"/>
        <v/>
      </c>
      <c r="E249" s="3">
        <f t="shared" si="3"/>
        <v>4</v>
      </c>
    </row>
    <row r="250" ht="15.75" customHeight="1">
      <c r="A250" s="1" t="s">
        <v>283</v>
      </c>
      <c r="B250" s="1" t="b">
        <f>GTE(1,1)</f>
        <v>1</v>
      </c>
      <c r="C250" s="1">
        <f t="shared" si="1"/>
        <v>4</v>
      </c>
      <c r="D250" s="1" t="str">
        <f t="shared" si="2"/>
        <v/>
      </c>
      <c r="E250" s="1">
        <f t="shared" si="3"/>
        <v>4</v>
      </c>
    </row>
    <row r="251" ht="15.75" customHeight="1">
      <c r="A251" s="3" t="s">
        <v>284</v>
      </c>
      <c r="B251" s="3" t="b">
        <f>GTE(TRUE,"z")</f>
        <v>1</v>
      </c>
      <c r="C251" s="3">
        <f t="shared" si="1"/>
        <v>4</v>
      </c>
      <c r="D251" s="3" t="str">
        <f t="shared" si="2"/>
        <v/>
      </c>
      <c r="E251" s="3">
        <f t="shared" si="3"/>
        <v>4</v>
      </c>
    </row>
    <row r="252" ht="15.75" customHeight="1">
      <c r="A252" s="1" t="s">
        <v>285</v>
      </c>
      <c r="B252" s="1" t="b">
        <f>GTE(Inputs!O1,0)</f>
        <v>1</v>
      </c>
      <c r="C252" s="1">
        <f t="shared" si="1"/>
        <v>4</v>
      </c>
      <c r="D252" s="1" t="str">
        <f t="shared" si="2"/>
        <v/>
      </c>
      <c r="E252" s="1">
        <f t="shared" si="3"/>
        <v>4</v>
      </c>
    </row>
    <row r="253" ht="15.75" customHeight="1">
      <c r="A253" s="3" t="s">
        <v>286</v>
      </c>
      <c r="B253" s="3" t="b">
        <f>LT(1,2)</f>
        <v>1</v>
      </c>
      <c r="C253" s="3">
        <f t="shared" si="1"/>
        <v>4</v>
      </c>
      <c r="D253" s="3" t="str">
        <f t="shared" si="2"/>
        <v/>
      </c>
      <c r="E253" s="3">
        <f t="shared" si="3"/>
        <v>4</v>
      </c>
    </row>
    <row r="254" ht="15.75" customHeight="1">
      <c r="A254" s="1" t="s">
        <v>287</v>
      </c>
      <c r="B254" s="1" t="b">
        <f>LT("a","B")</f>
        <v>1</v>
      </c>
      <c r="C254" s="1">
        <f t="shared" si="1"/>
        <v>4</v>
      </c>
      <c r="D254" s="1" t="str">
        <f t="shared" si="2"/>
        <v/>
      </c>
      <c r="E254" s="1">
        <f t="shared" si="3"/>
        <v>4</v>
      </c>
    </row>
    <row r="255" ht="15.75" customHeight="1">
      <c r="A255" s="3" t="s">
        <v>288</v>
      </c>
      <c r="B255" s="3" t="b">
        <f>LT(Inputs!O1,"")</f>
        <v>0</v>
      </c>
      <c r="C255" s="3">
        <f t="shared" si="1"/>
        <v>4</v>
      </c>
      <c r="D255" s="3" t="str">
        <f t="shared" si="2"/>
        <v/>
      </c>
      <c r="E255" s="3">
        <f t="shared" si="3"/>
        <v>5</v>
      </c>
    </row>
    <row r="256" ht="15.75" customHeight="1">
      <c r="A256" s="1" t="s">
        <v>289</v>
      </c>
      <c r="B256" s="1" t="b">
        <f>LTE(2,2)</f>
        <v>1</v>
      </c>
      <c r="C256" s="1">
        <f t="shared" si="1"/>
        <v>4</v>
      </c>
      <c r="D256" s="1" t="str">
        <f t="shared" si="2"/>
        <v/>
      </c>
      <c r="E256" s="1">
        <f t="shared" si="3"/>
        <v>4</v>
      </c>
    </row>
    <row r="257" ht="15.75" customHeight="1">
      <c r="A257" s="3" t="s">
        <v>290</v>
      </c>
      <c r="B257" s="3" t="b">
        <f>LTE(-1,Inputs!O1)</f>
        <v>1</v>
      </c>
      <c r="C257" s="3">
        <f t="shared" si="1"/>
        <v>4</v>
      </c>
      <c r="D257" s="3" t="str">
        <f t="shared" si="2"/>
        <v/>
      </c>
      <c r="E257" s="3">
        <f t="shared" si="3"/>
        <v>4</v>
      </c>
    </row>
    <row r="258" ht="15.75" customHeight="1">
      <c r="A258" s="1" t="s">
        <v>291</v>
      </c>
      <c r="B258" s="1" t="b">
        <f>LTE("10","9")</f>
        <v>1</v>
      </c>
      <c r="C258" s="1">
        <f t="shared" si="1"/>
        <v>4</v>
      </c>
      <c r="D258" s="1" t="str">
        <f t="shared" si="2"/>
        <v/>
      </c>
      <c r="E258" s="1">
        <f t="shared" si="3"/>
        <v>4</v>
      </c>
    </row>
    <row r="259" ht="15.75" customHeight="1">
      <c r="A259" s="3" t="s">
        <v>292</v>
      </c>
      <c r="B259" s="3" t="b">
        <f>IFERROR(__xludf.DUMMYFUNCTION("ISBETWEEN(5,1,10)"),TRUE)</f>
        <v>1</v>
      </c>
      <c r="C259" s="3">
        <f t="shared" si="1"/>
        <v>4</v>
      </c>
      <c r="D259" s="3" t="str">
        <f t="shared" si="2"/>
        <v/>
      </c>
      <c r="E259" s="3">
        <f t="shared" si="3"/>
        <v>4</v>
      </c>
    </row>
    <row r="260" ht="15.75" customHeight="1">
      <c r="A260" s="1" t="s">
        <v>293</v>
      </c>
      <c r="B260" s="1" t="b">
        <f>IFERROR(__xludf.DUMMYFUNCTION("ISBETWEEN(1,1,10,FALSE)"),FALSE)</f>
        <v>0</v>
      </c>
      <c r="C260" s="1">
        <f t="shared" si="1"/>
        <v>4</v>
      </c>
      <c r="D260" s="1" t="str">
        <f t="shared" si="2"/>
        <v/>
      </c>
      <c r="E260" s="1">
        <f t="shared" si="3"/>
        <v>5</v>
      </c>
    </row>
    <row r="261" ht="15.75" customHeight="1">
      <c r="A261" s="3" t="s">
        <v>294</v>
      </c>
      <c r="B261" s="3" t="b">
        <f>IFERROR(__xludf.DUMMYFUNCTION("ISBETWEEN(10,1,10,TRUE,FALSE)"),FALSE)</f>
        <v>0</v>
      </c>
      <c r="C261" s="3">
        <f t="shared" si="1"/>
        <v>4</v>
      </c>
      <c r="D261" s="3" t="str">
        <f t="shared" si="2"/>
        <v/>
      </c>
      <c r="E261" s="3">
        <f t="shared" si="3"/>
        <v>5</v>
      </c>
    </row>
    <row r="262" ht="15.75" customHeight="1">
      <c r="A262" s="1" t="s">
        <v>295</v>
      </c>
      <c r="B262" s="1" t="str">
        <f>CONCAT("a","b")</f>
        <v>ab</v>
      </c>
      <c r="C262" s="1">
        <f t="shared" si="1"/>
        <v>2</v>
      </c>
      <c r="D262" s="1" t="str">
        <f t="shared" si="2"/>
        <v/>
      </c>
      <c r="E262" s="1">
        <f t="shared" si="3"/>
        <v>2</v>
      </c>
    </row>
    <row r="263" ht="15.75" customHeight="1">
      <c r="A263" s="3" t="s">
        <v>296</v>
      </c>
      <c r="B263" s="3" t="str">
        <f>CONCAT(1,2)</f>
        <v>12</v>
      </c>
      <c r="C263" s="3">
        <f t="shared" si="1"/>
        <v>2</v>
      </c>
      <c r="D263" s="3" t="str">
        <f t="shared" si="2"/>
        <v/>
      </c>
      <c r="E263" s="3">
        <f t="shared" si="3"/>
        <v>2</v>
      </c>
    </row>
    <row r="264" ht="15.75" customHeight="1">
      <c r="A264" s="1" t="s">
        <v>297</v>
      </c>
      <c r="B264" s="1" t="str">
        <f>CONCAT(TRUE,"x")</f>
        <v>TRUEx</v>
      </c>
      <c r="C264" s="1">
        <f t="shared" si="1"/>
        <v>2</v>
      </c>
      <c r="D264" s="1" t="str">
        <f t="shared" si="2"/>
        <v/>
      </c>
      <c r="E264" s="1">
        <f t="shared" si="3"/>
        <v>5</v>
      </c>
    </row>
    <row r="265" ht="15.75" customHeight="1">
      <c r="A265" s="3" t="s">
        <v>298</v>
      </c>
      <c r="B265" s="3">
        <f>SUM(1,2,3)</f>
        <v>6</v>
      </c>
      <c r="C265" s="3">
        <f t="shared" si="1"/>
        <v>1</v>
      </c>
      <c r="D265" s="3" t="str">
        <f t="shared" si="2"/>
        <v/>
      </c>
      <c r="E265" s="3">
        <f t="shared" si="3"/>
        <v>1</v>
      </c>
    </row>
    <row r="266" ht="15.75" customHeight="1">
      <c r="A266" s="1" t="s">
        <v>299</v>
      </c>
      <c r="B266" s="1">
        <f>SUM(Inputs!B1:B5,10)</f>
        <v>25</v>
      </c>
      <c r="C266" s="1">
        <f t="shared" si="1"/>
        <v>1</v>
      </c>
      <c r="D266" s="1" t="str">
        <f t="shared" si="2"/>
        <v/>
      </c>
      <c r="E266" s="1">
        <f t="shared" si="3"/>
        <v>2</v>
      </c>
    </row>
    <row r="267" ht="15.75" customHeight="1">
      <c r="A267" s="3" t="s">
        <v>300</v>
      </c>
      <c r="B267" s="3" t="str">
        <f>SUM()</f>
        <v>#N/A</v>
      </c>
      <c r="C267" s="3">
        <f t="shared" si="1"/>
        <v>16</v>
      </c>
      <c r="D267" s="3">
        <f t="shared" si="2"/>
        <v>7</v>
      </c>
      <c r="E267" s="3" t="str">
        <f t="shared" si="3"/>
        <v>#N/A</v>
      </c>
    </row>
    <row r="268" ht="15.75" customHeight="1">
      <c r="A268" s="1" t="s">
        <v>301</v>
      </c>
      <c r="B268" s="1">
        <f>SUM(Inputs!C2:D5)</f>
        <v>692.65</v>
      </c>
      <c r="C268" s="1">
        <f t="shared" si="1"/>
        <v>1</v>
      </c>
      <c r="D268" s="1" t="str">
        <f t="shared" si="2"/>
        <v/>
      </c>
      <c r="E268" s="1">
        <f t="shared" si="3"/>
        <v>6</v>
      </c>
    </row>
    <row r="269" ht="15.75" customHeight="1">
      <c r="A269" s="3" t="s">
        <v>302</v>
      </c>
      <c r="B269" s="3">
        <f>SUMIF(Inputs!H1:H4,"&gt;=200")</f>
        <v>900</v>
      </c>
      <c r="C269" s="3">
        <f t="shared" si="1"/>
        <v>1</v>
      </c>
      <c r="D269" s="3" t="str">
        <f t="shared" si="2"/>
        <v/>
      </c>
      <c r="E269" s="3">
        <f t="shared" si="3"/>
        <v>3</v>
      </c>
    </row>
    <row r="270" ht="15.75" customHeight="1">
      <c r="A270" s="1" t="s">
        <v>303</v>
      </c>
      <c r="B270" s="1">
        <f>SUMIF(Inputs!G1:G4,"apple",Inputs!H1:H4)</f>
        <v>500</v>
      </c>
      <c r="C270" s="1">
        <f t="shared" si="1"/>
        <v>1</v>
      </c>
      <c r="D270" s="1" t="str">
        <f t="shared" si="2"/>
        <v/>
      </c>
      <c r="E270" s="1">
        <f t="shared" si="3"/>
        <v>3</v>
      </c>
    </row>
    <row r="271" ht="15.75" customHeight="1">
      <c r="A271" s="3" t="s">
        <v>304</v>
      </c>
      <c r="B271" s="3">
        <f>SUMIF(Inputs!G1:G4,"a*",Inputs!H1:H4)</f>
        <v>500</v>
      </c>
      <c r="C271" s="3">
        <f t="shared" si="1"/>
        <v>1</v>
      </c>
      <c r="D271" s="3" t="str">
        <f t="shared" si="2"/>
        <v/>
      </c>
      <c r="E271" s="3">
        <f t="shared" si="3"/>
        <v>3</v>
      </c>
    </row>
    <row r="272" ht="15.75" customHeight="1">
      <c r="A272" s="1" t="s">
        <v>305</v>
      </c>
      <c r="B272" s="1">
        <f>SUMIF(Inputs!G1:G4,"APPLE",Inputs!H1:H4)</f>
        <v>500</v>
      </c>
      <c r="C272" s="1">
        <f t="shared" si="1"/>
        <v>1</v>
      </c>
      <c r="D272" s="1" t="str">
        <f t="shared" si="2"/>
        <v/>
      </c>
      <c r="E272" s="1">
        <f t="shared" si="3"/>
        <v>3</v>
      </c>
    </row>
    <row r="273" ht="15.75" customHeight="1">
      <c r="A273" s="3" t="s">
        <v>306</v>
      </c>
      <c r="B273" s="3">
        <f>SUMIF(Inputs!H1:H4,"&lt;&gt;200")</f>
        <v>800</v>
      </c>
      <c r="C273" s="3">
        <f t="shared" si="1"/>
        <v>1</v>
      </c>
      <c r="D273" s="3" t="str">
        <f t="shared" si="2"/>
        <v/>
      </c>
      <c r="E273" s="3">
        <f t="shared" si="3"/>
        <v>3</v>
      </c>
    </row>
    <row r="274" ht="15.75" customHeight="1">
      <c r="A274" s="1" t="s">
        <v>307</v>
      </c>
      <c r="B274" s="1">
        <f>SUMIFS(Inputs!H1:H4,Inputs!G1:G4,"apple",Inputs!H1:H4,"&gt;100")</f>
        <v>400</v>
      </c>
      <c r="C274" s="1">
        <f t="shared" si="1"/>
        <v>1</v>
      </c>
      <c r="D274" s="1" t="str">
        <f t="shared" si="2"/>
        <v/>
      </c>
      <c r="E274" s="1">
        <f t="shared" si="3"/>
        <v>3</v>
      </c>
    </row>
    <row r="275" ht="15.75" customHeight="1">
      <c r="A275" s="3" t="s">
        <v>308</v>
      </c>
      <c r="B275" s="3">
        <f>SUMIFS(Inputs!H1:H4,Inputs!G1:G4,"&lt;&gt;apple")</f>
        <v>500</v>
      </c>
      <c r="C275" s="3">
        <f t="shared" si="1"/>
        <v>1</v>
      </c>
      <c r="D275" s="3" t="str">
        <f t="shared" si="2"/>
        <v/>
      </c>
      <c r="E275" s="3">
        <f t="shared" si="3"/>
        <v>3</v>
      </c>
    </row>
    <row r="276" ht="15.75" customHeight="1">
      <c r="A276" s="1" t="s">
        <v>309</v>
      </c>
      <c r="B276" s="1">
        <f>SUMIFS(Inputs!H1:H4,Inputs!G1:G4,"?anana")</f>
        <v>200</v>
      </c>
      <c r="C276" s="1">
        <f t="shared" si="1"/>
        <v>1</v>
      </c>
      <c r="D276" s="1" t="str">
        <f t="shared" si="2"/>
        <v/>
      </c>
      <c r="E276" s="1">
        <f t="shared" si="3"/>
        <v>3</v>
      </c>
    </row>
    <row r="277" ht="15.75" customHeight="1">
      <c r="A277" s="3" t="s">
        <v>310</v>
      </c>
      <c r="B277" s="3">
        <f>SUMPRODUCT(Inputs!B1:B5,Inputs!B1:B5)</f>
        <v>55</v>
      </c>
      <c r="C277" s="3">
        <f t="shared" si="1"/>
        <v>1</v>
      </c>
      <c r="D277" s="3" t="str">
        <f t="shared" si="2"/>
        <v/>
      </c>
      <c r="E277" s="3">
        <f t="shared" si="3"/>
        <v>2</v>
      </c>
    </row>
    <row r="278" ht="15.75" customHeight="1">
      <c r="A278" s="1" t="s">
        <v>311</v>
      </c>
      <c r="B278" s="1">
        <f t="array" ref="B278">SUMPRODUCT({1,2,3},{4,5,6})</f>
        <v>32</v>
      </c>
      <c r="C278" s="1">
        <f t="shared" si="1"/>
        <v>1</v>
      </c>
      <c r="D278" s="1" t="str">
        <f t="shared" si="2"/>
        <v/>
      </c>
      <c r="E278" s="1">
        <f t="shared" si="3"/>
        <v>2</v>
      </c>
    </row>
    <row r="279" ht="15.75" customHeight="1">
      <c r="A279" s="3" t="s">
        <v>312</v>
      </c>
      <c r="B279" s="3" t="str">
        <f t="array" ref="B279">SUMPRODUCT({1,2},{1,2,3})</f>
        <v>#VALUE!</v>
      </c>
      <c r="C279" s="3">
        <f t="shared" si="1"/>
        <v>16</v>
      </c>
      <c r="D279" s="3">
        <f t="shared" si="2"/>
        <v>3</v>
      </c>
      <c r="E279" s="3" t="str">
        <f t="shared" si="3"/>
        <v>#VALUE!</v>
      </c>
    </row>
    <row r="280" ht="15.75" customHeight="1">
      <c r="A280" s="1" t="s">
        <v>313</v>
      </c>
      <c r="B280" s="1">
        <f>SUMPRODUCT((Inputs!H1:H4&gt;150)*Inputs!H1:H4)</f>
        <v>900</v>
      </c>
      <c r="C280" s="1">
        <f t="shared" si="1"/>
        <v>1</v>
      </c>
      <c r="D280" s="1" t="str">
        <f t="shared" si="2"/>
        <v/>
      </c>
      <c r="E280" s="1">
        <f t="shared" si="3"/>
        <v>3</v>
      </c>
    </row>
    <row r="281" ht="15.75" customHeight="1">
      <c r="A281" s="3" t="s">
        <v>314</v>
      </c>
      <c r="B281" s="3">
        <f>PRODUCT(2,3,4)</f>
        <v>24</v>
      </c>
      <c r="C281" s="3">
        <f t="shared" si="1"/>
        <v>1</v>
      </c>
      <c r="D281" s="3" t="str">
        <f t="shared" si="2"/>
        <v/>
      </c>
      <c r="E281" s="3">
        <f t="shared" si="3"/>
        <v>2</v>
      </c>
    </row>
    <row r="282" ht="15.75" customHeight="1">
      <c r="A282" s="1" t="s">
        <v>315</v>
      </c>
      <c r="B282" s="1">
        <f>PRODUCT(Inputs!B1:B5)</f>
        <v>120</v>
      </c>
      <c r="C282" s="1">
        <f t="shared" si="1"/>
        <v>1</v>
      </c>
      <c r="D282" s="1" t="str">
        <f t="shared" si="2"/>
        <v/>
      </c>
      <c r="E282" s="1">
        <f t="shared" si="3"/>
        <v>3</v>
      </c>
    </row>
    <row r="283" ht="15.75" customHeight="1">
      <c r="A283" s="3" t="s">
        <v>316</v>
      </c>
      <c r="B283" s="3">
        <f>PRODUCT(Inputs!A1:A6)</f>
        <v>50</v>
      </c>
      <c r="C283" s="3">
        <f t="shared" si="1"/>
        <v>1</v>
      </c>
      <c r="D283" s="3" t="str">
        <f t="shared" si="2"/>
        <v/>
      </c>
      <c r="E283" s="3">
        <f t="shared" si="3"/>
        <v>2</v>
      </c>
    </row>
    <row r="284" ht="15.75" customHeight="1">
      <c r="A284" s="1" t="s">
        <v>317</v>
      </c>
      <c r="B284" s="1">
        <f>ROUND(2.5,0)</f>
        <v>3</v>
      </c>
      <c r="C284" s="1">
        <f t="shared" si="1"/>
        <v>1</v>
      </c>
      <c r="D284" s="1" t="str">
        <f t="shared" si="2"/>
        <v/>
      </c>
      <c r="E284" s="1">
        <f t="shared" si="3"/>
        <v>1</v>
      </c>
    </row>
    <row r="285" ht="15.75" customHeight="1">
      <c r="A285" s="3" t="s">
        <v>318</v>
      </c>
      <c r="B285" s="3">
        <f>ROUND(-2.5,0)</f>
        <v>-3</v>
      </c>
      <c r="C285" s="3">
        <f t="shared" si="1"/>
        <v>1</v>
      </c>
      <c r="D285" s="3" t="str">
        <f t="shared" si="2"/>
        <v/>
      </c>
      <c r="E285" s="3">
        <f t="shared" si="3"/>
        <v>2</v>
      </c>
    </row>
    <row r="286" ht="15.75" customHeight="1">
      <c r="A286" s="1" t="s">
        <v>319</v>
      </c>
      <c r="B286" s="1">
        <f>ROUND(1234.5678,-2)</f>
        <v>1200</v>
      </c>
      <c r="C286" s="1">
        <f t="shared" si="1"/>
        <v>1</v>
      </c>
      <c r="D286" s="1" t="str">
        <f t="shared" si="2"/>
        <v/>
      </c>
      <c r="E286" s="1">
        <f t="shared" si="3"/>
        <v>4</v>
      </c>
    </row>
    <row r="287" ht="15.75" customHeight="1">
      <c r="A287" s="3" t="s">
        <v>320</v>
      </c>
      <c r="B287" s="3">
        <f>ROUND(3.14159,0)</f>
        <v>3</v>
      </c>
      <c r="C287" s="3">
        <f t="shared" si="1"/>
        <v>1</v>
      </c>
      <c r="D287" s="3" t="str">
        <f t="shared" si="2"/>
        <v/>
      </c>
      <c r="E287" s="3">
        <f t="shared" si="3"/>
        <v>1</v>
      </c>
    </row>
    <row r="288" ht="15.75" customHeight="1">
      <c r="A288" s="1" t="s">
        <v>321</v>
      </c>
      <c r="B288" s="1">
        <f>ROUNDUP(3.2,0)</f>
        <v>4</v>
      </c>
      <c r="C288" s="1">
        <f t="shared" si="1"/>
        <v>1</v>
      </c>
      <c r="D288" s="1" t="str">
        <f t="shared" si="2"/>
        <v/>
      </c>
      <c r="E288" s="1">
        <f t="shared" si="3"/>
        <v>1</v>
      </c>
    </row>
    <row r="289" ht="15.75" customHeight="1">
      <c r="A289" s="3" t="s">
        <v>322</v>
      </c>
      <c r="B289" s="3">
        <f>ROUNDUP(-3.2,0)</f>
        <v>-4</v>
      </c>
      <c r="C289" s="3">
        <f t="shared" si="1"/>
        <v>1</v>
      </c>
      <c r="D289" s="3" t="str">
        <f t="shared" si="2"/>
        <v/>
      </c>
      <c r="E289" s="3">
        <f t="shared" si="3"/>
        <v>2</v>
      </c>
    </row>
    <row r="290" ht="15.75" customHeight="1">
      <c r="A290" s="1" t="s">
        <v>323</v>
      </c>
      <c r="B290" s="1">
        <f>ROUNDUP(31415.92654,-2)</f>
        <v>31500</v>
      </c>
      <c r="C290" s="1">
        <f t="shared" si="1"/>
        <v>1</v>
      </c>
      <c r="D290" s="1" t="str">
        <f t="shared" si="2"/>
        <v/>
      </c>
      <c r="E290" s="1">
        <f t="shared" si="3"/>
        <v>5</v>
      </c>
    </row>
    <row r="291" ht="15.75" customHeight="1">
      <c r="A291" s="3" t="s">
        <v>324</v>
      </c>
      <c r="B291" s="3">
        <f>ROUNDDOWN(3.9,0)</f>
        <v>3</v>
      </c>
      <c r="C291" s="3">
        <f t="shared" si="1"/>
        <v>1</v>
      </c>
      <c r="D291" s="3" t="str">
        <f t="shared" si="2"/>
        <v/>
      </c>
      <c r="E291" s="3">
        <f t="shared" si="3"/>
        <v>1</v>
      </c>
    </row>
    <row r="292" ht="15.75" customHeight="1">
      <c r="A292" s="1" t="s">
        <v>325</v>
      </c>
      <c r="B292" s="1">
        <f>ROUNDDOWN(-3.9,0)</f>
        <v>-3</v>
      </c>
      <c r="C292" s="1">
        <f t="shared" si="1"/>
        <v>1</v>
      </c>
      <c r="D292" s="1" t="str">
        <f t="shared" si="2"/>
        <v/>
      </c>
      <c r="E292" s="1">
        <f t="shared" si="3"/>
        <v>2</v>
      </c>
    </row>
    <row r="293" ht="15.75" customHeight="1">
      <c r="A293" s="3" t="s">
        <v>326</v>
      </c>
      <c r="B293" s="3">
        <f>ROUNDDOWN(1.239,2)</f>
        <v>1.23</v>
      </c>
      <c r="C293" s="3">
        <f t="shared" si="1"/>
        <v>1</v>
      </c>
      <c r="D293" s="3" t="str">
        <f t="shared" si="2"/>
        <v/>
      </c>
      <c r="E293" s="3">
        <f t="shared" si="3"/>
        <v>4</v>
      </c>
    </row>
    <row r="294" ht="15.75" customHeight="1">
      <c r="A294" s="1" t="s">
        <v>327</v>
      </c>
      <c r="B294" s="1">
        <f>MROUND(10,3)</f>
        <v>9</v>
      </c>
      <c r="C294" s="1">
        <f t="shared" si="1"/>
        <v>1</v>
      </c>
      <c r="D294" s="1" t="str">
        <f t="shared" si="2"/>
        <v/>
      </c>
      <c r="E294" s="1">
        <f t="shared" si="3"/>
        <v>1</v>
      </c>
    </row>
    <row r="295" ht="15.75" customHeight="1">
      <c r="A295" s="3" t="s">
        <v>328</v>
      </c>
      <c r="B295" s="3">
        <f>MROUND(-10,-3)</f>
        <v>-9</v>
      </c>
      <c r="C295" s="3">
        <f t="shared" si="1"/>
        <v>1</v>
      </c>
      <c r="D295" s="3" t="str">
        <f t="shared" si="2"/>
        <v/>
      </c>
      <c r="E295" s="3">
        <f t="shared" si="3"/>
        <v>2</v>
      </c>
    </row>
    <row r="296" ht="15.75" customHeight="1">
      <c r="A296" s="1" t="s">
        <v>329</v>
      </c>
      <c r="B296" s="1" t="str">
        <f>MROUND(5,-2)</f>
        <v>#NUM!</v>
      </c>
      <c r="C296" s="1">
        <f t="shared" si="1"/>
        <v>16</v>
      </c>
      <c r="D296" s="1">
        <f t="shared" si="2"/>
        <v>6</v>
      </c>
      <c r="E296" s="1" t="str">
        <f t="shared" si="3"/>
        <v>#NUM!</v>
      </c>
    </row>
    <row r="297" ht="15.75" customHeight="1">
      <c r="A297" s="3" t="s">
        <v>330</v>
      </c>
      <c r="B297" s="3">
        <f>MROUND(1.3,0.2)</f>
        <v>1.4</v>
      </c>
      <c r="C297" s="3">
        <f t="shared" si="1"/>
        <v>1</v>
      </c>
      <c r="D297" s="3" t="str">
        <f t="shared" si="2"/>
        <v/>
      </c>
      <c r="E297" s="3">
        <f t="shared" si="3"/>
        <v>3</v>
      </c>
    </row>
    <row r="298" ht="15.75" customHeight="1">
      <c r="A298" s="1" t="s">
        <v>331</v>
      </c>
      <c r="B298" s="1">
        <f>CEILING(2.5,1)</f>
        <v>3</v>
      </c>
      <c r="C298" s="1">
        <f t="shared" si="1"/>
        <v>1</v>
      </c>
      <c r="D298" s="1" t="str">
        <f t="shared" si="2"/>
        <v/>
      </c>
      <c r="E298" s="1">
        <f t="shared" si="3"/>
        <v>1</v>
      </c>
    </row>
    <row r="299" ht="15.75" customHeight="1">
      <c r="A299" s="3" t="s">
        <v>332</v>
      </c>
      <c r="B299" s="3">
        <f>CEILING(-2.5,-2)</f>
        <v>-4</v>
      </c>
      <c r="C299" s="3">
        <f t="shared" si="1"/>
        <v>1</v>
      </c>
      <c r="D299" s="3" t="str">
        <f t="shared" si="2"/>
        <v/>
      </c>
      <c r="E299" s="3">
        <f t="shared" si="3"/>
        <v>2</v>
      </c>
    </row>
    <row r="300" ht="15.75" customHeight="1">
      <c r="A300" s="1" t="s">
        <v>333</v>
      </c>
      <c r="B300" s="1">
        <f>CEILING(-2.5,2)</f>
        <v>-2</v>
      </c>
      <c r="C300" s="1">
        <f t="shared" si="1"/>
        <v>1</v>
      </c>
      <c r="D300" s="1" t="str">
        <f t="shared" si="2"/>
        <v/>
      </c>
      <c r="E300" s="1">
        <f t="shared" si="3"/>
        <v>2</v>
      </c>
    </row>
    <row r="301" ht="15.75" customHeight="1">
      <c r="A301" s="3" t="s">
        <v>334</v>
      </c>
      <c r="B301" s="3">
        <f>CEILING(1.234,0.05)</f>
        <v>1.25</v>
      </c>
      <c r="C301" s="3">
        <f t="shared" si="1"/>
        <v>1</v>
      </c>
      <c r="D301" s="3" t="str">
        <f t="shared" si="2"/>
        <v/>
      </c>
      <c r="E301" s="3">
        <f t="shared" si="3"/>
        <v>4</v>
      </c>
    </row>
    <row r="302" ht="15.75" customHeight="1">
      <c r="A302" s="1" t="s">
        <v>335</v>
      </c>
      <c r="B302" s="1">
        <f>_xlfn.CEILING.MATH(-5.5)</f>
        <v>-5</v>
      </c>
      <c r="C302" s="1">
        <f t="shared" si="1"/>
        <v>1</v>
      </c>
      <c r="D302" s="1" t="str">
        <f t="shared" si="2"/>
        <v/>
      </c>
      <c r="E302" s="1">
        <f t="shared" si="3"/>
        <v>2</v>
      </c>
    </row>
    <row r="303" ht="15.75" customHeight="1">
      <c r="A303" s="3" t="s">
        <v>336</v>
      </c>
      <c r="B303" s="3">
        <f>_xlfn.CEILING.MATH(-5.5,2,1)</f>
        <v>-6</v>
      </c>
      <c r="C303" s="3">
        <f t="shared" si="1"/>
        <v>1</v>
      </c>
      <c r="D303" s="3" t="str">
        <f t="shared" si="2"/>
        <v/>
      </c>
      <c r="E303" s="3">
        <f t="shared" si="3"/>
        <v>2</v>
      </c>
    </row>
    <row r="304" ht="15.75" customHeight="1">
      <c r="A304" s="1" t="s">
        <v>337</v>
      </c>
      <c r="B304" s="1">
        <f>_xlfn.CEILING.MATH(24.3,5)</f>
        <v>25</v>
      </c>
      <c r="C304" s="1">
        <f t="shared" si="1"/>
        <v>1</v>
      </c>
      <c r="D304" s="1" t="str">
        <f t="shared" si="2"/>
        <v/>
      </c>
      <c r="E304" s="1">
        <f t="shared" si="3"/>
        <v>2</v>
      </c>
    </row>
    <row r="305" ht="15.75" customHeight="1">
      <c r="A305" s="3" t="s">
        <v>338</v>
      </c>
      <c r="B305" s="3">
        <f>FLOOR(3.7,2)</f>
        <v>2</v>
      </c>
      <c r="C305" s="3">
        <f t="shared" si="1"/>
        <v>1</v>
      </c>
      <c r="D305" s="3" t="str">
        <f t="shared" si="2"/>
        <v/>
      </c>
      <c r="E305" s="3">
        <f t="shared" si="3"/>
        <v>1</v>
      </c>
    </row>
    <row r="306" ht="15.75" customHeight="1">
      <c r="A306" s="1" t="s">
        <v>339</v>
      </c>
      <c r="B306" s="1">
        <f>FLOOR(-2.5,-2)</f>
        <v>-2</v>
      </c>
      <c r="C306" s="1">
        <f t="shared" si="1"/>
        <v>1</v>
      </c>
      <c r="D306" s="1" t="str">
        <f t="shared" si="2"/>
        <v/>
      </c>
      <c r="E306" s="1">
        <f t="shared" si="3"/>
        <v>2</v>
      </c>
    </row>
    <row r="307" ht="15.75" customHeight="1">
      <c r="A307" s="3" t="s">
        <v>340</v>
      </c>
      <c r="B307" s="3" t="str">
        <f>FLOOR(2.5,-2)</f>
        <v>#NUM!</v>
      </c>
      <c r="C307" s="3">
        <f t="shared" si="1"/>
        <v>16</v>
      </c>
      <c r="D307" s="3">
        <f t="shared" si="2"/>
        <v>6</v>
      </c>
      <c r="E307" s="3" t="str">
        <f t="shared" si="3"/>
        <v>#NUM!</v>
      </c>
    </row>
    <row r="308" ht="15.75" customHeight="1">
      <c r="A308" s="1" t="s">
        <v>341</v>
      </c>
      <c r="B308" s="1">
        <f>FLOOR(1.58,0.1)</f>
        <v>1.5</v>
      </c>
      <c r="C308" s="1">
        <f t="shared" si="1"/>
        <v>1</v>
      </c>
      <c r="D308" s="1" t="str">
        <f t="shared" si="2"/>
        <v/>
      </c>
      <c r="E308" s="1">
        <f t="shared" si="3"/>
        <v>3</v>
      </c>
    </row>
    <row r="309" ht="15.75" customHeight="1">
      <c r="A309" s="3" t="s">
        <v>342</v>
      </c>
      <c r="B309" s="3">
        <f>_xlfn.FLOOR.MATH(-5.5)</f>
        <v>-6</v>
      </c>
      <c r="C309" s="3">
        <f t="shared" si="1"/>
        <v>1</v>
      </c>
      <c r="D309" s="3" t="str">
        <f t="shared" si="2"/>
        <v/>
      </c>
      <c r="E309" s="3">
        <f t="shared" si="3"/>
        <v>2</v>
      </c>
    </row>
    <row r="310" ht="15.75" customHeight="1">
      <c r="A310" s="1" t="s">
        <v>343</v>
      </c>
      <c r="B310" s="1">
        <f>_xlfn.FLOOR.MATH(-5.5,2,1)</f>
        <v>-4</v>
      </c>
      <c r="C310" s="1">
        <f t="shared" si="1"/>
        <v>1</v>
      </c>
      <c r="D310" s="1" t="str">
        <f t="shared" si="2"/>
        <v/>
      </c>
      <c r="E310" s="1">
        <f t="shared" si="3"/>
        <v>2</v>
      </c>
    </row>
    <row r="311" ht="15.75" customHeight="1">
      <c r="A311" s="3" t="s">
        <v>344</v>
      </c>
      <c r="B311" s="3">
        <f>_xlfn.FLOOR.MATH(24.3,5)</f>
        <v>20</v>
      </c>
      <c r="C311" s="3">
        <f t="shared" si="1"/>
        <v>1</v>
      </c>
      <c r="D311" s="3" t="str">
        <f t="shared" si="2"/>
        <v/>
      </c>
      <c r="E311" s="3">
        <f t="shared" si="3"/>
        <v>2</v>
      </c>
    </row>
    <row r="312" ht="15.75" customHeight="1">
      <c r="A312" s="1" t="s">
        <v>345</v>
      </c>
      <c r="B312" s="1">
        <f>INT(8.9)</f>
        <v>8</v>
      </c>
      <c r="C312" s="1">
        <f t="shared" si="1"/>
        <v>1</v>
      </c>
      <c r="D312" s="1" t="str">
        <f t="shared" si="2"/>
        <v/>
      </c>
      <c r="E312" s="1">
        <f t="shared" si="3"/>
        <v>1</v>
      </c>
    </row>
    <row r="313" ht="15.75" customHeight="1">
      <c r="A313" s="3" t="s">
        <v>346</v>
      </c>
      <c r="B313" s="3">
        <f>INT(-8.9)</f>
        <v>-9</v>
      </c>
      <c r="C313" s="3">
        <f t="shared" si="1"/>
        <v>1</v>
      </c>
      <c r="D313" s="3" t="str">
        <f t="shared" si="2"/>
        <v/>
      </c>
      <c r="E313" s="3">
        <f t="shared" si="3"/>
        <v>2</v>
      </c>
    </row>
    <row r="314" ht="15.75" customHeight="1">
      <c r="A314" s="1" t="s">
        <v>347</v>
      </c>
      <c r="B314" s="1">
        <f>INT("3.7")</f>
        <v>3</v>
      </c>
      <c r="C314" s="1">
        <f t="shared" si="1"/>
        <v>1</v>
      </c>
      <c r="D314" s="1" t="str">
        <f t="shared" si="2"/>
        <v/>
      </c>
      <c r="E314" s="1">
        <f t="shared" si="3"/>
        <v>1</v>
      </c>
    </row>
    <row r="315" ht="15.75" customHeight="1">
      <c r="A315" s="3" t="s">
        <v>348</v>
      </c>
      <c r="B315" s="3">
        <f>TRUNC(8.9)</f>
        <v>8</v>
      </c>
      <c r="C315" s="3">
        <f t="shared" si="1"/>
        <v>1</v>
      </c>
      <c r="D315" s="3" t="str">
        <f t="shared" si="2"/>
        <v/>
      </c>
      <c r="E315" s="3">
        <f t="shared" si="3"/>
        <v>1</v>
      </c>
    </row>
    <row r="316" ht="15.75" customHeight="1">
      <c r="A316" s="1" t="s">
        <v>349</v>
      </c>
      <c r="B316" s="1">
        <f>TRUNC(-8.9)</f>
        <v>-8</v>
      </c>
      <c r="C316" s="1">
        <f t="shared" si="1"/>
        <v>1</v>
      </c>
      <c r="D316" s="1" t="str">
        <f t="shared" si="2"/>
        <v/>
      </c>
      <c r="E316" s="1">
        <f t="shared" si="3"/>
        <v>2</v>
      </c>
    </row>
    <row r="317" ht="15.75" customHeight="1">
      <c r="A317" s="3" t="s">
        <v>350</v>
      </c>
      <c r="B317" s="3">
        <f>TRUNC(3.14159,2)</f>
        <v>3.14</v>
      </c>
      <c r="C317" s="3">
        <f t="shared" si="1"/>
        <v>1</v>
      </c>
      <c r="D317" s="3" t="str">
        <f t="shared" si="2"/>
        <v/>
      </c>
      <c r="E317" s="3">
        <f t="shared" si="3"/>
        <v>4</v>
      </c>
    </row>
    <row r="318" ht="15.75" customHeight="1">
      <c r="A318" s="1" t="s">
        <v>351</v>
      </c>
      <c r="B318" s="1">
        <f>ABS(-4)</f>
        <v>4</v>
      </c>
      <c r="C318" s="1">
        <f t="shared" si="1"/>
        <v>1</v>
      </c>
      <c r="D318" s="1" t="str">
        <f t="shared" si="2"/>
        <v/>
      </c>
      <c r="E318" s="1">
        <f t="shared" si="3"/>
        <v>1</v>
      </c>
    </row>
    <row r="319" ht="15.75" customHeight="1">
      <c r="A319" s="3" t="s">
        <v>352</v>
      </c>
      <c r="B319" s="3">
        <f>ABS(Inputs!O1)</f>
        <v>0</v>
      </c>
      <c r="C319" s="3">
        <f t="shared" si="1"/>
        <v>1</v>
      </c>
      <c r="D319" s="3" t="str">
        <f t="shared" si="2"/>
        <v/>
      </c>
      <c r="E319" s="3">
        <f t="shared" si="3"/>
        <v>1</v>
      </c>
    </row>
    <row r="320" ht="15.75" customHeight="1">
      <c r="A320" s="1" t="s">
        <v>353</v>
      </c>
      <c r="B320" s="1" t="str">
        <f>ABS("x")</f>
        <v>#VALUE!</v>
      </c>
      <c r="C320" s="1">
        <f t="shared" si="1"/>
        <v>16</v>
      </c>
      <c r="D320" s="1">
        <f t="shared" si="2"/>
        <v>3</v>
      </c>
      <c r="E320" s="1" t="str">
        <f t="shared" si="3"/>
        <v>#VALUE!</v>
      </c>
    </row>
    <row r="321" ht="15.75" customHeight="1">
      <c r="A321" s="3" t="s">
        <v>354</v>
      </c>
      <c r="B321" s="3">
        <f>SIGN(-0.0001)</f>
        <v>-1</v>
      </c>
      <c r="C321" s="3">
        <f t="shared" si="1"/>
        <v>1</v>
      </c>
      <c r="D321" s="3" t="str">
        <f t="shared" si="2"/>
        <v/>
      </c>
      <c r="E321" s="3">
        <f t="shared" si="3"/>
        <v>2</v>
      </c>
    </row>
    <row r="322" ht="15.75" customHeight="1">
      <c r="A322" s="1" t="s">
        <v>355</v>
      </c>
      <c r="B322" s="1">
        <f>SIGN(0)</f>
        <v>0</v>
      </c>
      <c r="C322" s="1">
        <f t="shared" si="1"/>
        <v>1</v>
      </c>
      <c r="D322" s="1" t="str">
        <f t="shared" si="2"/>
        <v/>
      </c>
      <c r="E322" s="1">
        <f t="shared" si="3"/>
        <v>1</v>
      </c>
    </row>
    <row r="323" ht="15.75" customHeight="1">
      <c r="A323" s="3" t="s">
        <v>356</v>
      </c>
      <c r="B323" s="3">
        <f>SIGN(12)</f>
        <v>1</v>
      </c>
      <c r="C323" s="3">
        <f t="shared" si="1"/>
        <v>1</v>
      </c>
      <c r="D323" s="3" t="str">
        <f t="shared" si="2"/>
        <v/>
      </c>
      <c r="E323" s="3">
        <f t="shared" si="3"/>
        <v>1</v>
      </c>
    </row>
    <row r="324" ht="15.75" customHeight="1">
      <c r="A324" s="1" t="s">
        <v>357</v>
      </c>
      <c r="B324" s="1">
        <f>MOD(5,3)</f>
        <v>2</v>
      </c>
      <c r="C324" s="1">
        <f t="shared" si="1"/>
        <v>1</v>
      </c>
      <c r="D324" s="1" t="str">
        <f t="shared" si="2"/>
        <v/>
      </c>
      <c r="E324" s="1">
        <f t="shared" si="3"/>
        <v>1</v>
      </c>
    </row>
    <row r="325" ht="15.75" customHeight="1">
      <c r="A325" s="3" t="s">
        <v>358</v>
      </c>
      <c r="B325" s="3">
        <f>MOD(-5,3)</f>
        <v>1</v>
      </c>
      <c r="C325" s="3">
        <f t="shared" si="1"/>
        <v>1</v>
      </c>
      <c r="D325" s="3" t="str">
        <f t="shared" si="2"/>
        <v/>
      </c>
      <c r="E325" s="3">
        <f t="shared" si="3"/>
        <v>1</v>
      </c>
    </row>
    <row r="326" ht="15.75" customHeight="1">
      <c r="A326" s="1" t="s">
        <v>359</v>
      </c>
      <c r="B326" s="1">
        <f>MOD(5,-3)</f>
        <v>-1</v>
      </c>
      <c r="C326" s="1">
        <f t="shared" si="1"/>
        <v>1</v>
      </c>
      <c r="D326" s="1" t="str">
        <f t="shared" si="2"/>
        <v/>
      </c>
      <c r="E326" s="1">
        <f t="shared" si="3"/>
        <v>2</v>
      </c>
    </row>
    <row r="327" ht="15.75" customHeight="1">
      <c r="A327" s="3" t="s">
        <v>360</v>
      </c>
      <c r="B327" s="3" t="str">
        <f>MOD(5,0)</f>
        <v>#DIV/0!</v>
      </c>
      <c r="C327" s="3">
        <f t="shared" si="1"/>
        <v>16</v>
      </c>
      <c r="D327" s="3">
        <f t="shared" si="2"/>
        <v>2</v>
      </c>
      <c r="E327" s="3" t="str">
        <f t="shared" si="3"/>
        <v>#DIV/0!</v>
      </c>
    </row>
    <row r="328" ht="15.75" customHeight="1">
      <c r="A328" s="1" t="s">
        <v>361</v>
      </c>
      <c r="B328" s="1">
        <f>MOD(5.5,2)</f>
        <v>1.5</v>
      </c>
      <c r="C328" s="1">
        <f t="shared" si="1"/>
        <v>1</v>
      </c>
      <c r="D328" s="1" t="str">
        <f t="shared" si="2"/>
        <v/>
      </c>
      <c r="E328" s="1">
        <f t="shared" si="3"/>
        <v>3</v>
      </c>
    </row>
    <row r="329" ht="15.75" customHeight="1">
      <c r="A329" s="3" t="s">
        <v>362</v>
      </c>
      <c r="B329" s="3">
        <f>QUOTIENT(5,2)</f>
        <v>2</v>
      </c>
      <c r="C329" s="3">
        <f t="shared" si="1"/>
        <v>1</v>
      </c>
      <c r="D329" s="3" t="str">
        <f t="shared" si="2"/>
        <v/>
      </c>
      <c r="E329" s="3">
        <f t="shared" si="3"/>
        <v>1</v>
      </c>
    </row>
    <row r="330" ht="15.75" customHeight="1">
      <c r="A330" s="1" t="s">
        <v>363</v>
      </c>
      <c r="B330" s="1">
        <f>QUOTIENT(-5,2)</f>
        <v>-2</v>
      </c>
      <c r="C330" s="1">
        <f t="shared" si="1"/>
        <v>1</v>
      </c>
      <c r="D330" s="1" t="str">
        <f t="shared" si="2"/>
        <v/>
      </c>
      <c r="E330" s="1">
        <f t="shared" si="3"/>
        <v>2</v>
      </c>
    </row>
    <row r="331" ht="15.75" customHeight="1">
      <c r="A331" s="3" t="s">
        <v>364</v>
      </c>
      <c r="B331" s="3" t="str">
        <f>QUOTIENT(5,0)</f>
        <v>#DIV/0!</v>
      </c>
      <c r="C331" s="3">
        <f t="shared" si="1"/>
        <v>16</v>
      </c>
      <c r="D331" s="3">
        <f t="shared" si="2"/>
        <v>2</v>
      </c>
      <c r="E331" s="3" t="str">
        <f t="shared" si="3"/>
        <v>#DIV/0!</v>
      </c>
    </row>
    <row r="332" ht="15.75" customHeight="1">
      <c r="A332" s="1" t="s">
        <v>365</v>
      </c>
      <c r="B332" s="1">
        <f>POWER(2,10)</f>
        <v>1024</v>
      </c>
      <c r="C332" s="1">
        <f t="shared" si="1"/>
        <v>1</v>
      </c>
      <c r="D332" s="1" t="str">
        <f t="shared" si="2"/>
        <v/>
      </c>
      <c r="E332" s="1">
        <f t="shared" si="3"/>
        <v>4</v>
      </c>
    </row>
    <row r="333" ht="15.75" customHeight="1">
      <c r="A333" s="3" t="s">
        <v>366</v>
      </c>
      <c r="B333" s="3">
        <f>POWER(-8,1/3)</f>
        <v>-2</v>
      </c>
      <c r="C333" s="3">
        <f t="shared" si="1"/>
        <v>1</v>
      </c>
      <c r="D333" s="3" t="str">
        <f t="shared" si="2"/>
        <v/>
      </c>
      <c r="E333" s="3">
        <f t="shared" si="3"/>
        <v>2</v>
      </c>
    </row>
    <row r="334" ht="15.75" customHeight="1">
      <c r="A334" s="1" t="s">
        <v>367</v>
      </c>
      <c r="B334" s="1">
        <f>POWER(0,0)</f>
        <v>1</v>
      </c>
      <c r="C334" s="1">
        <f t="shared" si="1"/>
        <v>1</v>
      </c>
      <c r="D334" s="1" t="str">
        <f t="shared" si="2"/>
        <v/>
      </c>
      <c r="E334" s="1">
        <f t="shared" si="3"/>
        <v>1</v>
      </c>
    </row>
    <row r="335" ht="15.75" customHeight="1">
      <c r="A335" s="3" t="s">
        <v>368</v>
      </c>
      <c r="B335" s="3" t="str">
        <f>POWER(0,-1)</f>
        <v>#NUM!</v>
      </c>
      <c r="C335" s="3">
        <f t="shared" si="1"/>
        <v>16</v>
      </c>
      <c r="D335" s="3">
        <f t="shared" si="2"/>
        <v>6</v>
      </c>
      <c r="E335" s="3" t="str">
        <f t="shared" si="3"/>
        <v>#NUM!</v>
      </c>
    </row>
    <row r="336" ht="15.75" customHeight="1">
      <c r="A336" s="1" t="s">
        <v>369</v>
      </c>
      <c r="B336" s="1">
        <f>SQRT(16)</f>
        <v>4</v>
      </c>
      <c r="C336" s="1">
        <f t="shared" si="1"/>
        <v>1</v>
      </c>
      <c r="D336" s="1" t="str">
        <f t="shared" si="2"/>
        <v/>
      </c>
      <c r="E336" s="1">
        <f t="shared" si="3"/>
        <v>1</v>
      </c>
    </row>
    <row r="337" ht="15.75" customHeight="1">
      <c r="A337" s="3" t="s">
        <v>370</v>
      </c>
      <c r="B337" s="3" t="str">
        <f>SQRT(-1)</f>
        <v>#NUM!</v>
      </c>
      <c r="C337" s="3">
        <f t="shared" si="1"/>
        <v>16</v>
      </c>
      <c r="D337" s="3">
        <f t="shared" si="2"/>
        <v>6</v>
      </c>
      <c r="E337" s="3" t="str">
        <f t="shared" si="3"/>
        <v>#NUM!</v>
      </c>
    </row>
    <row r="338" ht="15.75" customHeight="1">
      <c r="A338" s="1" t="s">
        <v>371</v>
      </c>
      <c r="B338" s="1">
        <f>SQRT(2)</f>
        <v>1.414213562</v>
      </c>
      <c r="C338" s="1">
        <f t="shared" si="1"/>
        <v>1</v>
      </c>
      <c r="D338" s="1" t="str">
        <f t="shared" si="2"/>
        <v/>
      </c>
      <c r="E338" s="1">
        <f t="shared" si="3"/>
        <v>15</v>
      </c>
    </row>
    <row r="339" ht="15.75" customHeight="1">
      <c r="A339" s="3" t="s">
        <v>372</v>
      </c>
      <c r="B339" s="3">
        <f>MIN(3,1,2)</f>
        <v>1</v>
      </c>
      <c r="C339" s="3">
        <f t="shared" si="1"/>
        <v>1</v>
      </c>
      <c r="D339" s="3" t="str">
        <f t="shared" si="2"/>
        <v/>
      </c>
      <c r="E339" s="3">
        <f t="shared" si="3"/>
        <v>1</v>
      </c>
    </row>
    <row r="340" ht="15.75" customHeight="1">
      <c r="A340" s="1" t="s">
        <v>373</v>
      </c>
      <c r="B340" s="1">
        <f>MIN(Inputs!A1:A6)</f>
        <v>5</v>
      </c>
      <c r="C340" s="1">
        <f t="shared" si="1"/>
        <v>1</v>
      </c>
      <c r="D340" s="1" t="str">
        <f t="shared" si="2"/>
        <v/>
      </c>
      <c r="E340" s="1">
        <f t="shared" si="3"/>
        <v>1</v>
      </c>
    </row>
    <row r="341" ht="15.75" customHeight="1">
      <c r="A341" s="3" t="s">
        <v>374</v>
      </c>
      <c r="B341" s="3">
        <f>MIN(Inputs!O1:O2)</f>
        <v>0</v>
      </c>
      <c r="C341" s="3">
        <f t="shared" si="1"/>
        <v>1</v>
      </c>
      <c r="D341" s="3" t="str">
        <f t="shared" si="2"/>
        <v/>
      </c>
      <c r="E341" s="3">
        <f t="shared" si="3"/>
        <v>1</v>
      </c>
    </row>
    <row r="342" ht="15.75" customHeight="1">
      <c r="A342" s="1" t="s">
        <v>375</v>
      </c>
      <c r="B342" s="1">
        <f>MAX(3,1,2)</f>
        <v>3</v>
      </c>
      <c r="C342" s="1">
        <f t="shared" si="1"/>
        <v>1</v>
      </c>
      <c r="D342" s="1" t="str">
        <f t="shared" si="2"/>
        <v/>
      </c>
      <c r="E342" s="1">
        <f t="shared" si="3"/>
        <v>1</v>
      </c>
    </row>
    <row r="343" ht="15.75" customHeight="1">
      <c r="A343" s="3" t="s">
        <v>376</v>
      </c>
      <c r="B343" s="3">
        <f>MAX(Inputs!A1:A6)</f>
        <v>10</v>
      </c>
      <c r="C343" s="3">
        <f t="shared" si="1"/>
        <v>1</v>
      </c>
      <c r="D343" s="3" t="str">
        <f t="shared" si="2"/>
        <v/>
      </c>
      <c r="E343" s="3">
        <f t="shared" si="3"/>
        <v>2</v>
      </c>
    </row>
    <row r="344" ht="15.75" customHeight="1">
      <c r="A344" s="1" t="s">
        <v>377</v>
      </c>
      <c r="B344" s="1">
        <f>MAX(Inputs!O1:O2)</f>
        <v>0</v>
      </c>
      <c r="C344" s="1">
        <f t="shared" si="1"/>
        <v>1</v>
      </c>
      <c r="D344" s="1" t="str">
        <f t="shared" si="2"/>
        <v/>
      </c>
      <c r="E344" s="1">
        <f t="shared" si="3"/>
        <v>1</v>
      </c>
    </row>
    <row r="345" ht="15.75" customHeight="1">
      <c r="A345" s="3" t="s">
        <v>378</v>
      </c>
      <c r="B345" s="3">
        <f>MINIFS(Inputs!H1:H4,Inputs!G1:G4,"apple")</f>
        <v>100</v>
      </c>
      <c r="C345" s="3">
        <f t="shared" si="1"/>
        <v>1</v>
      </c>
      <c r="D345" s="3" t="str">
        <f t="shared" si="2"/>
        <v/>
      </c>
      <c r="E345" s="3">
        <f t="shared" si="3"/>
        <v>3</v>
      </c>
    </row>
    <row r="346" ht="15.75" customHeight="1">
      <c r="A346" s="1" t="s">
        <v>379</v>
      </c>
      <c r="B346" s="1">
        <f>MINIFS(Inputs!H1:H4,Inputs!G1:G4,"zzz")</f>
        <v>0</v>
      </c>
      <c r="C346" s="1">
        <f t="shared" si="1"/>
        <v>1</v>
      </c>
      <c r="D346" s="1" t="str">
        <f t="shared" si="2"/>
        <v/>
      </c>
      <c r="E346" s="1">
        <f t="shared" si="3"/>
        <v>1</v>
      </c>
    </row>
    <row r="347" ht="15.75" customHeight="1">
      <c r="A347" s="3" t="s">
        <v>380</v>
      </c>
      <c r="B347" s="3">
        <f>MINIFS(Inputs!H1:H4,Inputs!H1:H4,"&gt;150")</f>
        <v>200</v>
      </c>
      <c r="C347" s="3">
        <f t="shared" si="1"/>
        <v>1</v>
      </c>
      <c r="D347" s="3" t="str">
        <f t="shared" si="2"/>
        <v/>
      </c>
      <c r="E347" s="3">
        <f t="shared" si="3"/>
        <v>3</v>
      </c>
    </row>
    <row r="348" ht="15.75" customHeight="1">
      <c r="A348" s="1" t="s">
        <v>381</v>
      </c>
      <c r="B348" s="1">
        <f>MAXIFS(Inputs!H1:H4,Inputs!G1:G4,"apple")</f>
        <v>400</v>
      </c>
      <c r="C348" s="1">
        <f t="shared" si="1"/>
        <v>1</v>
      </c>
      <c r="D348" s="1" t="str">
        <f t="shared" si="2"/>
        <v/>
      </c>
      <c r="E348" s="1">
        <f t="shared" si="3"/>
        <v>3</v>
      </c>
    </row>
    <row r="349" ht="15.75" customHeight="1">
      <c r="A349" s="3" t="s">
        <v>382</v>
      </c>
      <c r="B349" s="3">
        <f>MAXIFS(Inputs!H1:H4,Inputs!H1:H4,"&lt;300")</f>
        <v>200</v>
      </c>
      <c r="C349" s="3">
        <f t="shared" si="1"/>
        <v>1</v>
      </c>
      <c r="D349" s="3" t="str">
        <f t="shared" si="2"/>
        <v/>
      </c>
      <c r="E349" s="3">
        <f t="shared" si="3"/>
        <v>3</v>
      </c>
    </row>
    <row r="350" ht="15.75" customHeight="1">
      <c r="A350" s="1" t="s">
        <v>383</v>
      </c>
      <c r="B350" s="1">
        <f>MAXIFS(Inputs!H1:H4,Inputs!G1:G4,"zzz")</f>
        <v>0</v>
      </c>
      <c r="C350" s="1">
        <f t="shared" si="1"/>
        <v>1</v>
      </c>
      <c r="D350" s="1" t="str">
        <f t="shared" si="2"/>
        <v/>
      </c>
      <c r="E350" s="1">
        <f t="shared" si="3"/>
        <v>1</v>
      </c>
    </row>
    <row r="351" ht="15.75" customHeight="1">
      <c r="A351" s="3" t="s">
        <v>384</v>
      </c>
      <c r="B351" s="3">
        <f>AVERAGE(1,2,3,4)</f>
        <v>2.5</v>
      </c>
      <c r="C351" s="3">
        <f t="shared" si="1"/>
        <v>1</v>
      </c>
      <c r="D351" s="3" t="str">
        <f t="shared" si="2"/>
        <v/>
      </c>
      <c r="E351" s="3">
        <f t="shared" si="3"/>
        <v>3</v>
      </c>
    </row>
    <row r="352" ht="15.75" customHeight="1">
      <c r="A352" s="1" t="s">
        <v>385</v>
      </c>
      <c r="B352" s="1">
        <f>AVERAGE(Inputs!A1:A6)</f>
        <v>7.5</v>
      </c>
      <c r="C352" s="1">
        <f t="shared" si="1"/>
        <v>1</v>
      </c>
      <c r="D352" s="1" t="str">
        <f t="shared" si="2"/>
        <v/>
      </c>
      <c r="E352" s="1">
        <f t="shared" si="3"/>
        <v>3</v>
      </c>
    </row>
    <row r="353" ht="15.75" customHeight="1">
      <c r="A353" s="3" t="s">
        <v>386</v>
      </c>
      <c r="B353" s="3" t="str">
        <f>AVERAGE(Inputs!O1:O2)</f>
        <v>#DIV/0!</v>
      </c>
      <c r="C353" s="3">
        <f t="shared" si="1"/>
        <v>16</v>
      </c>
      <c r="D353" s="3">
        <f t="shared" si="2"/>
        <v>2</v>
      </c>
      <c r="E353" s="3" t="str">
        <f t="shared" si="3"/>
        <v>#DIV/0!</v>
      </c>
    </row>
    <row r="354" ht="15.75" customHeight="1">
      <c r="A354" s="1" t="s">
        <v>387</v>
      </c>
      <c r="B354" s="1">
        <f>AVERAGE(1,TRUE)</f>
        <v>1</v>
      </c>
      <c r="C354" s="1">
        <f t="shared" si="1"/>
        <v>1</v>
      </c>
      <c r="D354" s="1" t="str">
        <f t="shared" si="2"/>
        <v/>
      </c>
      <c r="E354" s="1">
        <f t="shared" si="3"/>
        <v>1</v>
      </c>
    </row>
    <row r="355" ht="15.75" customHeight="1">
      <c r="A355" s="3" t="s">
        <v>388</v>
      </c>
      <c r="B355" s="3">
        <f>AVERAGEIF(Inputs!H1:H4,"&gt;150")</f>
        <v>300</v>
      </c>
      <c r="C355" s="3">
        <f t="shared" si="1"/>
        <v>1</v>
      </c>
      <c r="D355" s="3" t="str">
        <f t="shared" si="2"/>
        <v/>
      </c>
      <c r="E355" s="3">
        <f t="shared" si="3"/>
        <v>3</v>
      </c>
    </row>
    <row r="356" ht="15.75" customHeight="1">
      <c r="A356" s="1" t="s">
        <v>389</v>
      </c>
      <c r="B356" s="1">
        <f>AVERAGEIF(Inputs!G1:G4,"apple",Inputs!H1:H4)</f>
        <v>250</v>
      </c>
      <c r="C356" s="1">
        <f t="shared" si="1"/>
        <v>1</v>
      </c>
      <c r="D356" s="1" t="str">
        <f t="shared" si="2"/>
        <v/>
      </c>
      <c r="E356" s="1">
        <f t="shared" si="3"/>
        <v>3</v>
      </c>
    </row>
    <row r="357" ht="15.75" customHeight="1">
      <c r="A357" s="3" t="s">
        <v>390</v>
      </c>
      <c r="B357" s="3" t="str">
        <f>AVERAGEIF(Inputs!H1:H4,"&gt;1000")</f>
        <v>#DIV/0!</v>
      </c>
      <c r="C357" s="3">
        <f t="shared" si="1"/>
        <v>16</v>
      </c>
      <c r="D357" s="3">
        <f t="shared" si="2"/>
        <v>2</v>
      </c>
      <c r="E357" s="3" t="str">
        <f t="shared" si="3"/>
        <v>#DIV/0!</v>
      </c>
    </row>
    <row r="358" ht="15.75" customHeight="1">
      <c r="A358" s="1" t="s">
        <v>391</v>
      </c>
      <c r="B358" s="1">
        <f>AVERAGEIFS(Inputs!H1:H4,Inputs!G1:G4,"&lt;&gt;apple")</f>
        <v>250</v>
      </c>
      <c r="C358" s="1">
        <f t="shared" si="1"/>
        <v>1</v>
      </c>
      <c r="D358" s="1" t="str">
        <f t="shared" si="2"/>
        <v/>
      </c>
      <c r="E358" s="1">
        <f t="shared" si="3"/>
        <v>3</v>
      </c>
    </row>
    <row r="359" ht="15.75" customHeight="1">
      <c r="A359" s="3" t="s">
        <v>392</v>
      </c>
      <c r="B359" s="3">
        <f>AVERAGEIFS(Inputs!H1:H4,Inputs!H1:H4,"&gt;=200",Inputs!H1:H4,"&lt;=300")</f>
        <v>250</v>
      </c>
      <c r="C359" s="3">
        <f t="shared" si="1"/>
        <v>1</v>
      </c>
      <c r="D359" s="3" t="str">
        <f t="shared" si="2"/>
        <v/>
      </c>
      <c r="E359" s="3">
        <f t="shared" si="3"/>
        <v>3</v>
      </c>
    </row>
    <row r="360" ht="15.75" customHeight="1">
      <c r="A360" s="1" t="s">
        <v>393</v>
      </c>
      <c r="B360" s="1" t="str">
        <f>AVERAGEIFS(Inputs!H1:H4,Inputs!G1:G4,"none")</f>
        <v>#DIV/0!</v>
      </c>
      <c r="C360" s="1">
        <f t="shared" si="1"/>
        <v>16</v>
      </c>
      <c r="D360" s="1">
        <f t="shared" si="2"/>
        <v>2</v>
      </c>
      <c r="E360" s="1" t="str">
        <f t="shared" si="3"/>
        <v>#DIV/0!</v>
      </c>
    </row>
    <row r="361" ht="15.75" customHeight="1">
      <c r="A361" s="3" t="s">
        <v>394</v>
      </c>
      <c r="B361" s="3">
        <f>COUNT(Inputs!A1:A6)</f>
        <v>2</v>
      </c>
      <c r="C361" s="3">
        <f t="shared" si="1"/>
        <v>1</v>
      </c>
      <c r="D361" s="3" t="str">
        <f t="shared" si="2"/>
        <v/>
      </c>
      <c r="E361" s="3">
        <f t="shared" si="3"/>
        <v>1</v>
      </c>
    </row>
    <row r="362" ht="15.75" customHeight="1">
      <c r="A362" s="1" t="s">
        <v>395</v>
      </c>
      <c r="B362" s="1">
        <f>COUNT(Inputs!B1:B5,1,2)</f>
        <v>7</v>
      </c>
      <c r="C362" s="1">
        <f t="shared" si="1"/>
        <v>1</v>
      </c>
      <c r="D362" s="1" t="str">
        <f t="shared" si="2"/>
        <v/>
      </c>
      <c r="E362" s="1">
        <f t="shared" si="3"/>
        <v>1</v>
      </c>
    </row>
    <row r="363" ht="15.75" customHeight="1">
      <c r="A363" s="3" t="s">
        <v>396</v>
      </c>
      <c r="B363" s="3">
        <f>COUNT(Inputs!O1:O2)</f>
        <v>0</v>
      </c>
      <c r="C363" s="3">
        <f t="shared" si="1"/>
        <v>1</v>
      </c>
      <c r="D363" s="3" t="str">
        <f t="shared" si="2"/>
        <v/>
      </c>
      <c r="E363" s="3">
        <f t="shared" si="3"/>
        <v>1</v>
      </c>
    </row>
    <row r="364" ht="15.75" customHeight="1">
      <c r="A364" s="1" t="s">
        <v>397</v>
      </c>
      <c r="B364" s="1">
        <f>COUNTA(Inputs!A1:A6)</f>
        <v>5</v>
      </c>
      <c r="C364" s="1">
        <f t="shared" si="1"/>
        <v>1</v>
      </c>
      <c r="D364" s="1" t="str">
        <f t="shared" si="2"/>
        <v/>
      </c>
      <c r="E364" s="1">
        <f t="shared" si="3"/>
        <v>1</v>
      </c>
    </row>
    <row r="365" ht="15.75" customHeight="1">
      <c r="A365" s="3" t="s">
        <v>398</v>
      </c>
      <c r="B365" s="3">
        <f>COUNTA(1,"",TRUE)</f>
        <v>3</v>
      </c>
      <c r="C365" s="3">
        <f t="shared" si="1"/>
        <v>1</v>
      </c>
      <c r="D365" s="3" t="str">
        <f t="shared" si="2"/>
        <v/>
      </c>
      <c r="E365" s="3">
        <f t="shared" si="3"/>
        <v>1</v>
      </c>
    </row>
    <row r="366" ht="15.75" customHeight="1">
      <c r="A366" s="1" t="s">
        <v>399</v>
      </c>
      <c r="B366" s="1">
        <f>COUNTA(Inputs!O1:O2)</f>
        <v>0</v>
      </c>
      <c r="C366" s="1">
        <f t="shared" si="1"/>
        <v>1</v>
      </c>
      <c r="D366" s="1" t="str">
        <f t="shared" si="2"/>
        <v/>
      </c>
      <c r="E366" s="1">
        <f t="shared" si="3"/>
        <v>1</v>
      </c>
    </row>
    <row r="367" ht="15.75" customHeight="1">
      <c r="A367" s="3" t="s">
        <v>400</v>
      </c>
      <c r="B367" s="3">
        <f>COUNTBLANK(Inputs!A1:A6)</f>
        <v>1</v>
      </c>
      <c r="C367" s="3">
        <f t="shared" si="1"/>
        <v>1</v>
      </c>
      <c r="D367" s="3" t="str">
        <f t="shared" si="2"/>
        <v/>
      </c>
      <c r="E367" s="3">
        <f t="shared" si="3"/>
        <v>1</v>
      </c>
    </row>
    <row r="368" ht="15.75" customHeight="1">
      <c r="A368" s="1" t="s">
        <v>401</v>
      </c>
      <c r="B368" s="1">
        <f>COUNTBLANK(Inputs!O1:O2)</f>
        <v>2</v>
      </c>
      <c r="C368" s="1">
        <f t="shared" si="1"/>
        <v>1</v>
      </c>
      <c r="D368" s="1" t="str">
        <f t="shared" si="2"/>
        <v/>
      </c>
      <c r="E368" s="1">
        <f t="shared" si="3"/>
        <v>1</v>
      </c>
    </row>
    <row r="369" ht="15.75" customHeight="1">
      <c r="A369" s="3" t="s">
        <v>402</v>
      </c>
      <c r="B369" s="3">
        <f>COUNTBLANK(Inputs!B1:B5)</f>
        <v>0</v>
      </c>
      <c r="C369" s="3">
        <f t="shared" si="1"/>
        <v>1</v>
      </c>
      <c r="D369" s="3" t="str">
        <f t="shared" si="2"/>
        <v/>
      </c>
      <c r="E369" s="3">
        <f t="shared" si="3"/>
        <v>1</v>
      </c>
    </row>
    <row r="370" ht="15.75" customHeight="1">
      <c r="A370" s="1" t="s">
        <v>403</v>
      </c>
      <c r="B370" s="1">
        <f>COUNTIF(Inputs!G1:G4,"apple")</f>
        <v>2</v>
      </c>
      <c r="C370" s="1">
        <f t="shared" si="1"/>
        <v>1</v>
      </c>
      <c r="D370" s="1" t="str">
        <f t="shared" si="2"/>
        <v/>
      </c>
      <c r="E370" s="1">
        <f t="shared" si="3"/>
        <v>1</v>
      </c>
    </row>
    <row r="371" ht="15.75" customHeight="1">
      <c r="A371" s="3" t="s">
        <v>404</v>
      </c>
      <c r="B371" s="3">
        <f>COUNTIF(Inputs!H1:H4,"&gt;200")</f>
        <v>2</v>
      </c>
      <c r="C371" s="3">
        <f t="shared" si="1"/>
        <v>1</v>
      </c>
      <c r="D371" s="3" t="str">
        <f t="shared" si="2"/>
        <v/>
      </c>
      <c r="E371" s="3">
        <f t="shared" si="3"/>
        <v>1</v>
      </c>
    </row>
    <row r="372" ht="15.75" customHeight="1">
      <c r="A372" s="1" t="s">
        <v>405</v>
      </c>
      <c r="B372" s="1">
        <f>COUNTIF(Inputs!G1:G4,"*an*")</f>
        <v>1</v>
      </c>
      <c r="C372" s="1">
        <f t="shared" si="1"/>
        <v>1</v>
      </c>
      <c r="D372" s="1" t="str">
        <f t="shared" si="2"/>
        <v/>
      </c>
      <c r="E372" s="1">
        <f t="shared" si="3"/>
        <v>1</v>
      </c>
    </row>
    <row r="373" ht="15.75" customHeight="1">
      <c r="A373" s="3" t="s">
        <v>406</v>
      </c>
      <c r="B373" s="3">
        <f>COUNTIF(Inputs!A1:A6,"20")</f>
        <v>1</v>
      </c>
      <c r="C373" s="3">
        <f t="shared" si="1"/>
        <v>1</v>
      </c>
      <c r="D373" s="3" t="str">
        <f t="shared" si="2"/>
        <v/>
      </c>
      <c r="E373" s="3">
        <f t="shared" si="3"/>
        <v>1</v>
      </c>
    </row>
    <row r="374" ht="15.75" customHeight="1">
      <c r="A374" s="1" t="s">
        <v>407</v>
      </c>
      <c r="B374" s="1">
        <f>COUNTIF(Inputs!G1:G4,"&lt;&gt;apple")</f>
        <v>2</v>
      </c>
      <c r="C374" s="1">
        <f t="shared" si="1"/>
        <v>1</v>
      </c>
      <c r="D374" s="1" t="str">
        <f t="shared" si="2"/>
        <v/>
      </c>
      <c r="E374" s="1">
        <f t="shared" si="3"/>
        <v>1</v>
      </c>
    </row>
    <row r="375" ht="15.75" customHeight="1">
      <c r="A375" s="3" t="s">
        <v>408</v>
      </c>
      <c r="B375" s="3">
        <f>COUNTIFS(Inputs!G1:G4,"apple",Inputs!H1:H4,"&gt;200")</f>
        <v>1</v>
      </c>
      <c r="C375" s="3">
        <f t="shared" si="1"/>
        <v>1</v>
      </c>
      <c r="D375" s="3" t="str">
        <f t="shared" si="2"/>
        <v/>
      </c>
      <c r="E375" s="3">
        <f t="shared" si="3"/>
        <v>1</v>
      </c>
    </row>
    <row r="376" ht="15.75" customHeight="1">
      <c r="A376" s="1" t="s">
        <v>409</v>
      </c>
      <c r="B376" s="1">
        <f>COUNTIFS(Inputs!H1:H4,"&gt;=100",Inputs!H1:H4,"&lt;=300")</f>
        <v>3</v>
      </c>
      <c r="C376" s="1">
        <f t="shared" si="1"/>
        <v>1</v>
      </c>
      <c r="D376" s="1" t="str">
        <f t="shared" si="2"/>
        <v/>
      </c>
      <c r="E376" s="1">
        <f t="shared" si="3"/>
        <v>1</v>
      </c>
    </row>
    <row r="377" ht="15.75" customHeight="1">
      <c r="A377" s="3" t="s">
        <v>410</v>
      </c>
      <c r="B377" s="3">
        <f>COUNTIFS(Inputs!G1:G4,"~*")</f>
        <v>0</v>
      </c>
      <c r="C377" s="3">
        <f t="shared" si="1"/>
        <v>1</v>
      </c>
      <c r="D377" s="3" t="str">
        <f t="shared" si="2"/>
        <v/>
      </c>
      <c r="E377" s="3">
        <f t="shared" si="3"/>
        <v>1</v>
      </c>
    </row>
    <row r="378" ht="15.75" customHeight="1">
      <c r="A378" s="1" t="s">
        <v>411</v>
      </c>
      <c r="B378" s="1">
        <f>MEDIAN(1,2,3,4)</f>
        <v>2.5</v>
      </c>
      <c r="C378" s="1">
        <f t="shared" si="1"/>
        <v>1</v>
      </c>
      <c r="D378" s="1" t="str">
        <f t="shared" si="2"/>
        <v/>
      </c>
      <c r="E378" s="1">
        <f t="shared" si="3"/>
        <v>3</v>
      </c>
    </row>
    <row r="379" ht="15.75" customHeight="1">
      <c r="A379" s="3" t="s">
        <v>412</v>
      </c>
      <c r="B379" s="3">
        <f>MEDIAN(Inputs!E1:E5)</f>
        <v>30</v>
      </c>
      <c r="C379" s="3">
        <f t="shared" si="1"/>
        <v>1</v>
      </c>
      <c r="D379" s="3" t="str">
        <f t="shared" si="2"/>
        <v/>
      </c>
      <c r="E379" s="3">
        <f t="shared" si="3"/>
        <v>2</v>
      </c>
    </row>
    <row r="380" ht="15.75" customHeight="1">
      <c r="A380" s="1" t="s">
        <v>413</v>
      </c>
      <c r="B380" s="1">
        <f>MEDIAN(Inputs!A1:A6)</f>
        <v>7.5</v>
      </c>
      <c r="C380" s="1">
        <f t="shared" si="1"/>
        <v>1</v>
      </c>
      <c r="D380" s="1" t="str">
        <f t="shared" si="2"/>
        <v/>
      </c>
      <c r="E380" s="1">
        <f t="shared" si="3"/>
        <v>3</v>
      </c>
    </row>
    <row r="381" ht="15.75" customHeight="1">
      <c r="A381" s="3" t="s">
        <v>414</v>
      </c>
      <c r="B381" s="3">
        <f>LARGE(Inputs!E1:E5,2)</f>
        <v>40</v>
      </c>
      <c r="C381" s="3">
        <f t="shared" si="1"/>
        <v>1</v>
      </c>
      <c r="D381" s="3" t="str">
        <f t="shared" si="2"/>
        <v/>
      </c>
      <c r="E381" s="3">
        <f t="shared" si="3"/>
        <v>2</v>
      </c>
    </row>
    <row r="382" ht="15.75" customHeight="1">
      <c r="A382" s="1" t="s">
        <v>415</v>
      </c>
      <c r="B382" s="1" t="str">
        <f>LARGE(Inputs!E1:E5,6)</f>
        <v>#NUM!</v>
      </c>
      <c r="C382" s="1">
        <f t="shared" si="1"/>
        <v>16</v>
      </c>
      <c r="D382" s="1">
        <f t="shared" si="2"/>
        <v>6</v>
      </c>
      <c r="E382" s="1" t="str">
        <f t="shared" si="3"/>
        <v>#NUM!</v>
      </c>
    </row>
    <row r="383" ht="15.75" customHeight="1">
      <c r="A383" s="3" t="s">
        <v>416</v>
      </c>
      <c r="B383" s="3">
        <f t="array" ref="B383">LARGE({1,2,3},1)</f>
        <v>3</v>
      </c>
      <c r="C383" s="3">
        <f t="shared" si="1"/>
        <v>1</v>
      </c>
      <c r="D383" s="3" t="str">
        <f t="shared" si="2"/>
        <v/>
      </c>
      <c r="E383" s="3">
        <f t="shared" si="3"/>
        <v>1</v>
      </c>
    </row>
    <row r="384" ht="15.75" customHeight="1">
      <c r="A384" s="1" t="s">
        <v>417</v>
      </c>
      <c r="B384" s="1">
        <f>SMALL(Inputs!E1:E5,1)</f>
        <v>10</v>
      </c>
      <c r="C384" s="1">
        <f t="shared" si="1"/>
        <v>1</v>
      </c>
      <c r="D384" s="1" t="str">
        <f t="shared" si="2"/>
        <v/>
      </c>
      <c r="E384" s="1">
        <f t="shared" si="3"/>
        <v>2</v>
      </c>
    </row>
    <row r="385" ht="15.75" customHeight="1">
      <c r="A385" s="3" t="s">
        <v>418</v>
      </c>
      <c r="B385" s="3" t="str">
        <f>SMALL(Inputs!E1:E5,0)</f>
        <v>#NUM!</v>
      </c>
      <c r="C385" s="3">
        <f t="shared" si="1"/>
        <v>16</v>
      </c>
      <c r="D385" s="3">
        <f t="shared" si="2"/>
        <v>6</v>
      </c>
      <c r="E385" s="3" t="str">
        <f t="shared" si="3"/>
        <v>#NUM!</v>
      </c>
    </row>
    <row r="386" ht="15.75" customHeight="1">
      <c r="A386" s="1" t="s">
        <v>419</v>
      </c>
      <c r="B386" s="1">
        <f>SMALL(Inputs!A1:A6,2)</f>
        <v>10</v>
      </c>
      <c r="C386" s="1">
        <f t="shared" si="1"/>
        <v>1</v>
      </c>
      <c r="D386" s="1" t="str">
        <f t="shared" si="2"/>
        <v/>
      </c>
      <c r="E386" s="1">
        <f t="shared" si="3"/>
        <v>2</v>
      </c>
    </row>
    <row r="387" ht="15.75" customHeight="1">
      <c r="A387" s="3" t="s">
        <v>420</v>
      </c>
      <c r="B387" s="3">
        <f>IF(TRUE,1,2)</f>
        <v>1</v>
      </c>
      <c r="C387" s="3">
        <f t="shared" si="1"/>
        <v>1</v>
      </c>
      <c r="D387" s="3" t="str">
        <f t="shared" si="2"/>
        <v/>
      </c>
      <c r="E387" s="3">
        <f t="shared" si="3"/>
        <v>1</v>
      </c>
    </row>
    <row r="388" ht="15.75" customHeight="1">
      <c r="A388" s="1" t="s">
        <v>421</v>
      </c>
      <c r="B388" s="1">
        <f>IF(0,1,2)</f>
        <v>2</v>
      </c>
      <c r="C388" s="1">
        <f t="shared" si="1"/>
        <v>1</v>
      </c>
      <c r="D388" s="1" t="str">
        <f t="shared" si="2"/>
        <v/>
      </c>
      <c r="E388" s="1">
        <f t="shared" si="3"/>
        <v>1</v>
      </c>
    </row>
    <row r="389" ht="15.75" customHeight="1">
      <c r="A389" s="3" t="s">
        <v>422</v>
      </c>
      <c r="B389" s="3" t="str">
        <f>IF("x",1,2)</f>
        <v>#VALUE!</v>
      </c>
      <c r="C389" s="3">
        <f t="shared" si="1"/>
        <v>16</v>
      </c>
      <c r="D389" s="3">
        <f t="shared" si="2"/>
        <v>3</v>
      </c>
      <c r="E389" s="3" t="str">
        <f t="shared" si="3"/>
        <v>#VALUE!</v>
      </c>
    </row>
    <row r="390" ht="15.75" customHeight="1">
      <c r="A390" s="1" t="s">
        <v>423</v>
      </c>
      <c r="B390" s="1" t="b">
        <f>IF(FALSE,1)</f>
        <v>0</v>
      </c>
      <c r="C390" s="1">
        <f t="shared" si="1"/>
        <v>4</v>
      </c>
      <c r="D390" s="1" t="str">
        <f t="shared" si="2"/>
        <v/>
      </c>
      <c r="E390" s="1">
        <f t="shared" si="3"/>
        <v>5</v>
      </c>
    </row>
    <row r="391" ht="15.75" customHeight="1">
      <c r="A391" s="3" t="s">
        <v>424</v>
      </c>
      <c r="B391" s="3" t="str">
        <f>IF(1/0,1,2)</f>
        <v>#DIV/0!</v>
      </c>
      <c r="C391" s="3">
        <f t="shared" si="1"/>
        <v>16</v>
      </c>
      <c r="D391" s="3">
        <f t="shared" si="2"/>
        <v>2</v>
      </c>
      <c r="E391" s="3" t="str">
        <f t="shared" si="3"/>
        <v>#DIV/0!</v>
      </c>
    </row>
    <row r="392" ht="15.75" customHeight="1">
      <c r="A392" s="1" t="s">
        <v>425</v>
      </c>
      <c r="B392" s="1">
        <f>IF(TRUE,1,1/0)</f>
        <v>1</v>
      </c>
      <c r="C392" s="1">
        <f t="shared" si="1"/>
        <v>1</v>
      </c>
      <c r="D392" s="1" t="str">
        <f t="shared" si="2"/>
        <v/>
      </c>
      <c r="E392" s="1">
        <f t="shared" si="3"/>
        <v>1</v>
      </c>
    </row>
    <row r="393" ht="15.75" customHeight="1">
      <c r="A393" s="3" t="s">
        <v>426</v>
      </c>
      <c r="B393" s="3">
        <f>IFS(FALSE,1,TRUE,2)</f>
        <v>2</v>
      </c>
      <c r="C393" s="3">
        <f t="shared" si="1"/>
        <v>1</v>
      </c>
      <c r="D393" s="3" t="str">
        <f t="shared" si="2"/>
        <v/>
      </c>
      <c r="E393" s="3">
        <f t="shared" si="3"/>
        <v>1</v>
      </c>
    </row>
    <row r="394" ht="15.75" customHeight="1">
      <c r="A394" s="1" t="s">
        <v>427</v>
      </c>
      <c r="B394" s="1" t="str">
        <f>IFS(FALSE,1)</f>
        <v>#N/A</v>
      </c>
      <c r="C394" s="1">
        <f t="shared" si="1"/>
        <v>16</v>
      </c>
      <c r="D394" s="1">
        <f t="shared" si="2"/>
        <v>7</v>
      </c>
      <c r="E394" s="1" t="str">
        <f t="shared" si="3"/>
        <v>#N/A</v>
      </c>
    </row>
    <row r="395" ht="15.75" customHeight="1">
      <c r="A395" s="3" t="s">
        <v>428</v>
      </c>
      <c r="B395" s="3" t="str">
        <f>IFS(1&gt;2,"a",2&gt;1,"b")</f>
        <v>b</v>
      </c>
      <c r="C395" s="3">
        <f t="shared" si="1"/>
        <v>2</v>
      </c>
      <c r="D395" s="3" t="str">
        <f t="shared" si="2"/>
        <v/>
      </c>
      <c r="E395" s="3">
        <f t="shared" si="3"/>
        <v>1</v>
      </c>
    </row>
    <row r="396" ht="15.75" customHeight="1">
      <c r="A396" s="1" t="s">
        <v>429</v>
      </c>
      <c r="B396" s="1" t="str">
        <f>SWITCH(2,1,"one",2,"two")</f>
        <v>two</v>
      </c>
      <c r="C396" s="1">
        <f t="shared" si="1"/>
        <v>2</v>
      </c>
      <c r="D396" s="1" t="str">
        <f t="shared" si="2"/>
        <v/>
      </c>
      <c r="E396" s="1">
        <f t="shared" si="3"/>
        <v>3</v>
      </c>
    </row>
    <row r="397" ht="15.75" customHeight="1">
      <c r="A397" s="3" t="s">
        <v>430</v>
      </c>
      <c r="B397" s="3" t="str">
        <f>SWITCH(3,1,"one","default")</f>
        <v>default</v>
      </c>
      <c r="C397" s="3">
        <f t="shared" si="1"/>
        <v>2</v>
      </c>
      <c r="D397" s="3" t="str">
        <f t="shared" si="2"/>
        <v/>
      </c>
      <c r="E397" s="3">
        <f t="shared" si="3"/>
        <v>7</v>
      </c>
    </row>
    <row r="398" ht="15.75" customHeight="1">
      <c r="A398" s="1" t="s">
        <v>431</v>
      </c>
      <c r="B398" s="1" t="str">
        <f>SWITCH(3,1,"one")</f>
        <v>#N/A</v>
      </c>
      <c r="C398" s="1">
        <f t="shared" si="1"/>
        <v>16</v>
      </c>
      <c r="D398" s="1">
        <f t="shared" si="2"/>
        <v>7</v>
      </c>
      <c r="E398" s="1" t="str">
        <f t="shared" si="3"/>
        <v>#N/A</v>
      </c>
    </row>
    <row r="399" ht="15.75" customHeight="1">
      <c r="A399" s="3" t="s">
        <v>432</v>
      </c>
      <c r="B399" s="3" t="str">
        <f>SWITCH("A","a","lower","other")</f>
        <v>lower</v>
      </c>
      <c r="C399" s="3">
        <f t="shared" si="1"/>
        <v>2</v>
      </c>
      <c r="D399" s="3" t="str">
        <f t="shared" si="2"/>
        <v/>
      </c>
      <c r="E399" s="3">
        <f t="shared" si="3"/>
        <v>5</v>
      </c>
    </row>
    <row r="400" ht="15.75" customHeight="1">
      <c r="A400" s="1" t="s">
        <v>433</v>
      </c>
      <c r="B400" s="1" t="str">
        <f>IFERROR(1/0,"x")</f>
        <v>x</v>
      </c>
      <c r="C400" s="1">
        <f t="shared" si="1"/>
        <v>2</v>
      </c>
      <c r="D400" s="1" t="str">
        <f t="shared" si="2"/>
        <v/>
      </c>
      <c r="E400" s="1">
        <f t="shared" si="3"/>
        <v>1</v>
      </c>
    </row>
    <row r="401" ht="15.75" customHeight="1">
      <c r="A401" s="3" t="s">
        <v>434</v>
      </c>
      <c r="B401" s="3">
        <f>IFERROR(5,"x")</f>
        <v>5</v>
      </c>
      <c r="C401" s="3">
        <f t="shared" si="1"/>
        <v>1</v>
      </c>
      <c r="D401" s="3" t="str">
        <f t="shared" si="2"/>
        <v/>
      </c>
      <c r="E401" s="3">
        <f t="shared" si="3"/>
        <v>1</v>
      </c>
    </row>
    <row r="402" ht="15.75" customHeight="1">
      <c r="A402" s="1" t="s">
        <v>435</v>
      </c>
      <c r="B402" s="1" t="str">
        <f>IFERROR(NA(),"")</f>
        <v/>
      </c>
      <c r="C402" s="1">
        <f t="shared" si="1"/>
        <v>1</v>
      </c>
      <c r="D402" s="1" t="str">
        <f t="shared" si="2"/>
        <v/>
      </c>
      <c r="E402" s="1">
        <f t="shared" si="3"/>
        <v>0</v>
      </c>
    </row>
    <row r="403" ht="15.75" customHeight="1">
      <c r="A403" s="3" t="s">
        <v>436</v>
      </c>
      <c r="B403" s="3" t="str">
        <f>IFNA(NA(),"x")</f>
        <v>x</v>
      </c>
      <c r="C403" s="3">
        <f t="shared" si="1"/>
        <v>2</v>
      </c>
      <c r="D403" s="3" t="str">
        <f t="shared" si="2"/>
        <v/>
      </c>
      <c r="E403" s="3">
        <f t="shared" si="3"/>
        <v>1</v>
      </c>
    </row>
    <row r="404" ht="15.75" customHeight="1">
      <c r="A404" s="1" t="s">
        <v>437</v>
      </c>
      <c r="B404" s="1" t="str">
        <f>IFNA(1/0,"x")</f>
        <v>#DIV/0!</v>
      </c>
      <c r="C404" s="1">
        <f t="shared" si="1"/>
        <v>16</v>
      </c>
      <c r="D404" s="1">
        <f t="shared" si="2"/>
        <v>2</v>
      </c>
      <c r="E404" s="1" t="str">
        <f t="shared" si="3"/>
        <v>#DIV/0!</v>
      </c>
    </row>
    <row r="405" ht="15.75" customHeight="1">
      <c r="A405" s="3" t="s">
        <v>438</v>
      </c>
      <c r="B405" s="3">
        <f>IFNA(3,"x")</f>
        <v>3</v>
      </c>
      <c r="C405" s="3">
        <f t="shared" si="1"/>
        <v>1</v>
      </c>
      <c r="D405" s="3" t="str">
        <f t="shared" si="2"/>
        <v/>
      </c>
      <c r="E405" s="3">
        <f t="shared" si="3"/>
        <v>1</v>
      </c>
    </row>
    <row r="406" ht="15.75" customHeight="1">
      <c r="A406" s="1" t="s">
        <v>439</v>
      </c>
      <c r="B406" s="1" t="b">
        <f>AND(TRUE,1)</f>
        <v>1</v>
      </c>
      <c r="C406" s="1">
        <f t="shared" si="1"/>
        <v>4</v>
      </c>
      <c r="D406" s="1" t="str">
        <f t="shared" si="2"/>
        <v/>
      </c>
      <c r="E406" s="1">
        <f t="shared" si="3"/>
        <v>4</v>
      </c>
    </row>
    <row r="407" ht="15.75" customHeight="1">
      <c r="A407" s="3" t="s">
        <v>440</v>
      </c>
      <c r="B407" s="3" t="b">
        <f>AND(TRUE,0)</f>
        <v>0</v>
      </c>
      <c r="C407" s="3">
        <f t="shared" si="1"/>
        <v>4</v>
      </c>
      <c r="D407" s="3" t="str">
        <f t="shared" si="2"/>
        <v/>
      </c>
      <c r="E407" s="3">
        <f t="shared" si="3"/>
        <v>5</v>
      </c>
    </row>
    <row r="408" ht="15.75" customHeight="1">
      <c r="A408" s="1" t="s">
        <v>441</v>
      </c>
      <c r="B408" s="1" t="b">
        <f>AND(Inputs!A1:A6)</f>
        <v>1</v>
      </c>
      <c r="C408" s="1">
        <f t="shared" si="1"/>
        <v>4</v>
      </c>
      <c r="D408" s="1" t="str">
        <f t="shared" si="2"/>
        <v/>
      </c>
      <c r="E408" s="1">
        <f t="shared" si="3"/>
        <v>4</v>
      </c>
    </row>
    <row r="409" ht="15.75" customHeight="1">
      <c r="A409" s="3" t="s">
        <v>442</v>
      </c>
      <c r="B409" s="3" t="str">
        <f>AND(FALSE,1/0)</f>
        <v>#DIV/0!</v>
      </c>
      <c r="C409" s="3">
        <f t="shared" si="1"/>
        <v>16</v>
      </c>
      <c r="D409" s="3">
        <f t="shared" si="2"/>
        <v>2</v>
      </c>
      <c r="E409" s="3" t="str">
        <f t="shared" si="3"/>
        <v>#DIV/0!</v>
      </c>
    </row>
    <row r="410" ht="15.75" customHeight="1">
      <c r="A410" s="1" t="s">
        <v>443</v>
      </c>
      <c r="B410" s="1" t="str">
        <f>AND("x")</f>
        <v>#VALUE!</v>
      </c>
      <c r="C410" s="1">
        <f t="shared" si="1"/>
        <v>16</v>
      </c>
      <c r="D410" s="1">
        <f t="shared" si="2"/>
        <v>3</v>
      </c>
      <c r="E410" s="1" t="str">
        <f t="shared" si="3"/>
        <v>#VALUE!</v>
      </c>
    </row>
    <row r="411" ht="15.75" customHeight="1">
      <c r="A411" s="3" t="s">
        <v>444</v>
      </c>
      <c r="B411" s="3" t="b">
        <f>OR(FALSE,0)</f>
        <v>0</v>
      </c>
      <c r="C411" s="3">
        <f t="shared" si="1"/>
        <v>4</v>
      </c>
      <c r="D411" s="3" t="str">
        <f t="shared" si="2"/>
        <v/>
      </c>
      <c r="E411" s="3">
        <f t="shared" si="3"/>
        <v>5</v>
      </c>
    </row>
    <row r="412" ht="15.75" customHeight="1">
      <c r="A412" s="1" t="s">
        <v>445</v>
      </c>
      <c r="B412" s="1" t="str">
        <f>OR(TRUE,1/0)</f>
        <v>#DIV/0!</v>
      </c>
      <c r="C412" s="1">
        <f t="shared" si="1"/>
        <v>16</v>
      </c>
      <c r="D412" s="1">
        <f t="shared" si="2"/>
        <v>2</v>
      </c>
      <c r="E412" s="1" t="str">
        <f t="shared" si="3"/>
        <v>#DIV/0!</v>
      </c>
    </row>
    <row r="413" ht="15.75" customHeight="1">
      <c r="A413" s="3" t="s">
        <v>446</v>
      </c>
      <c r="B413" s="3" t="b">
        <f>OR(0,"TRUE")</f>
        <v>1</v>
      </c>
      <c r="C413" s="3">
        <f t="shared" si="1"/>
        <v>4</v>
      </c>
      <c r="D413" s="3" t="str">
        <f t="shared" si="2"/>
        <v/>
      </c>
      <c r="E413" s="3">
        <f t="shared" si="3"/>
        <v>4</v>
      </c>
    </row>
    <row r="414" ht="15.75" customHeight="1">
      <c r="A414" s="1" t="s">
        <v>447</v>
      </c>
      <c r="B414" s="1" t="b">
        <f>NOT(TRUE)</f>
        <v>0</v>
      </c>
      <c r="C414" s="1">
        <f t="shared" si="1"/>
        <v>4</v>
      </c>
      <c r="D414" s="1" t="str">
        <f t="shared" si="2"/>
        <v/>
      </c>
      <c r="E414" s="1">
        <f t="shared" si="3"/>
        <v>5</v>
      </c>
    </row>
    <row r="415" ht="15.75" customHeight="1">
      <c r="A415" s="3" t="s">
        <v>448</v>
      </c>
      <c r="B415" s="3" t="b">
        <f>NOT(0)</f>
        <v>1</v>
      </c>
      <c r="C415" s="3">
        <f t="shared" si="1"/>
        <v>4</v>
      </c>
      <c r="D415" s="3" t="str">
        <f t="shared" si="2"/>
        <v/>
      </c>
      <c r="E415" s="3">
        <f t="shared" si="3"/>
        <v>4</v>
      </c>
    </row>
    <row r="416" ht="15.75" customHeight="1">
      <c r="A416" s="1" t="s">
        <v>449</v>
      </c>
      <c r="B416" s="1" t="str">
        <f>NOT("x")</f>
        <v>#VALUE!</v>
      </c>
      <c r="C416" s="1">
        <f t="shared" si="1"/>
        <v>16</v>
      </c>
      <c r="D416" s="1">
        <f t="shared" si="2"/>
        <v>3</v>
      </c>
      <c r="E416" s="1" t="str">
        <f t="shared" si="3"/>
        <v>#VALUE!</v>
      </c>
    </row>
    <row r="417" ht="15.75" customHeight="1">
      <c r="A417" s="3" t="s">
        <v>450</v>
      </c>
      <c r="B417" s="3" t="b">
        <f>XOR(TRUE,TRUE)</f>
        <v>0</v>
      </c>
      <c r="C417" s="3">
        <f t="shared" si="1"/>
        <v>4</v>
      </c>
      <c r="D417" s="3" t="str">
        <f t="shared" si="2"/>
        <v/>
      </c>
      <c r="E417" s="3">
        <f t="shared" si="3"/>
        <v>5</v>
      </c>
    </row>
    <row r="418" ht="15.75" customHeight="1">
      <c r="A418" s="1" t="s">
        <v>451</v>
      </c>
      <c r="B418" s="1" t="b">
        <f>XOR(TRUE,FALSE,TRUE)</f>
        <v>0</v>
      </c>
      <c r="C418" s="1">
        <f t="shared" si="1"/>
        <v>4</v>
      </c>
      <c r="D418" s="1" t="str">
        <f t="shared" si="2"/>
        <v/>
      </c>
      <c r="E418" s="1">
        <f t="shared" si="3"/>
        <v>5</v>
      </c>
    </row>
    <row r="419" ht="15.75" customHeight="1">
      <c r="A419" s="3" t="s">
        <v>452</v>
      </c>
      <c r="B419" s="3" t="b">
        <f>XOR(1,0)</f>
        <v>1</v>
      </c>
      <c r="C419" s="3">
        <f t="shared" si="1"/>
        <v>4</v>
      </c>
      <c r="D419" s="3" t="str">
        <f t="shared" si="2"/>
        <v/>
      </c>
      <c r="E419" s="3">
        <f t="shared" si="3"/>
        <v>4</v>
      </c>
    </row>
    <row r="420" ht="15.75" customHeight="1">
      <c r="A420" s="1" t="s">
        <v>453</v>
      </c>
      <c r="B420" s="1" t="b">
        <f>TRUE()</f>
        <v>1</v>
      </c>
      <c r="C420" s="1">
        <f t="shared" si="1"/>
        <v>4</v>
      </c>
      <c r="D420" s="1" t="str">
        <f t="shared" si="2"/>
        <v/>
      </c>
      <c r="E420" s="1">
        <f t="shared" si="3"/>
        <v>4</v>
      </c>
    </row>
    <row r="421" ht="15.75" customHeight="1">
      <c r="A421" s="3" t="s">
        <v>454</v>
      </c>
      <c r="B421" s="3">
        <f>TRUE()+1</f>
        <v>2</v>
      </c>
      <c r="C421" s="3">
        <f t="shared" si="1"/>
        <v>1</v>
      </c>
      <c r="D421" s="3" t="str">
        <f t="shared" si="2"/>
        <v/>
      </c>
      <c r="E421" s="3">
        <f t="shared" si="3"/>
        <v>1</v>
      </c>
    </row>
    <row r="422" ht="15.75" customHeight="1">
      <c r="A422" s="1" t="s">
        <v>455</v>
      </c>
      <c r="B422" s="1" t="str">
        <f>IF(TRUE(),"t","f")</f>
        <v>t</v>
      </c>
      <c r="C422" s="1">
        <f t="shared" si="1"/>
        <v>2</v>
      </c>
      <c r="D422" s="1" t="str">
        <f t="shared" si="2"/>
        <v/>
      </c>
      <c r="E422" s="1">
        <f t="shared" si="3"/>
        <v>1</v>
      </c>
    </row>
    <row r="423" ht="15.75" customHeight="1">
      <c r="A423" s="3" t="s">
        <v>456</v>
      </c>
      <c r="B423" s="3" t="b">
        <f>FALSE()</f>
        <v>0</v>
      </c>
      <c r="C423" s="3">
        <f t="shared" si="1"/>
        <v>4</v>
      </c>
      <c r="D423" s="3" t="str">
        <f t="shared" si="2"/>
        <v/>
      </c>
      <c r="E423" s="3">
        <f t="shared" si="3"/>
        <v>5</v>
      </c>
    </row>
    <row r="424" ht="15.75" customHeight="1">
      <c r="A424" s="1" t="s">
        <v>457</v>
      </c>
      <c r="B424" s="1">
        <f>FALSE()*1</f>
        <v>0</v>
      </c>
      <c r="C424" s="1">
        <f t="shared" si="1"/>
        <v>1</v>
      </c>
      <c r="D424" s="1" t="str">
        <f t="shared" si="2"/>
        <v/>
      </c>
      <c r="E424" s="1">
        <f t="shared" si="3"/>
        <v>1</v>
      </c>
    </row>
    <row r="425" ht="15.75" customHeight="1">
      <c r="A425" s="3" t="s">
        <v>458</v>
      </c>
      <c r="B425" s="3" t="b">
        <f>FALSE()=0</f>
        <v>0</v>
      </c>
      <c r="C425" s="3">
        <f t="shared" si="1"/>
        <v>4</v>
      </c>
      <c r="D425" s="3" t="str">
        <f t="shared" si="2"/>
        <v/>
      </c>
      <c r="E425" s="3">
        <f t="shared" si="3"/>
        <v>5</v>
      </c>
    </row>
    <row r="426" ht="15.75" customHeight="1">
      <c r="A426" s="1" t="s">
        <v>459</v>
      </c>
      <c r="B426" s="1">
        <f>LET(x,2,y,3,x*y)</f>
        <v>6</v>
      </c>
      <c r="C426" s="1">
        <f t="shared" si="1"/>
        <v>1</v>
      </c>
      <c r="D426" s="1" t="str">
        <f t="shared" si="2"/>
        <v/>
      </c>
      <c r="E426" s="1">
        <f t="shared" si="3"/>
        <v>1</v>
      </c>
    </row>
    <row r="427" ht="15.75" customHeight="1">
      <c r="A427" s="3" t="s">
        <v>460</v>
      </c>
      <c r="B427" s="3">
        <f>LET(x,2,x+LET(x,10,x))</f>
        <v>12</v>
      </c>
      <c r="C427" s="3">
        <f t="shared" si="1"/>
        <v>1</v>
      </c>
      <c r="D427" s="3" t="str">
        <f t="shared" si="2"/>
        <v/>
      </c>
      <c r="E427" s="3">
        <f t="shared" si="3"/>
        <v>2</v>
      </c>
    </row>
    <row r="428" ht="15.75" customHeight="1">
      <c r="A428" s="1" t="s">
        <v>461</v>
      </c>
      <c r="B428" s="1">
        <f>LET(a,Inputs!B1:B5,SUM(a))</f>
        <v>15</v>
      </c>
      <c r="C428" s="1">
        <f t="shared" si="1"/>
        <v>1</v>
      </c>
      <c r="D428" s="1" t="str">
        <f t="shared" si="2"/>
        <v/>
      </c>
      <c r="E428" s="1">
        <f t="shared" si="3"/>
        <v>2</v>
      </c>
    </row>
    <row r="429" ht="15.75" customHeight="1">
      <c r="A429" s="3" t="s">
        <v>462</v>
      </c>
      <c r="B429" s="3">
        <f>LET(x,1/0,5)</f>
        <v>5</v>
      </c>
      <c r="C429" s="3">
        <f t="shared" si="1"/>
        <v>1</v>
      </c>
      <c r="D429" s="3" t="str">
        <f t="shared" si="2"/>
        <v/>
      </c>
      <c r="E429" s="3">
        <f t="shared" si="3"/>
        <v>1</v>
      </c>
    </row>
    <row r="430" ht="15.75" customHeight="1">
      <c r="A430" s="1" t="s">
        <v>463</v>
      </c>
      <c r="B430" s="1">
        <f>VLOOKUP(120,Inputs!C2:D5,2,TRUE)</f>
        <v>9.75</v>
      </c>
      <c r="C430" s="1">
        <f t="shared" si="1"/>
        <v>1</v>
      </c>
      <c r="D430" s="1" t="str">
        <f t="shared" si="2"/>
        <v/>
      </c>
      <c r="E430" s="1">
        <f t="shared" si="3"/>
        <v>4</v>
      </c>
    </row>
    <row r="431" ht="15.75" customHeight="1">
      <c r="A431" s="3" t="s">
        <v>464</v>
      </c>
      <c r="B431" s="3">
        <f>VLOOKUP(100,Inputs!C2:D5,2,TRUE)</f>
        <v>9.75</v>
      </c>
      <c r="C431" s="3">
        <f t="shared" si="1"/>
        <v>1</v>
      </c>
      <c r="D431" s="3" t="str">
        <f t="shared" si="2"/>
        <v/>
      </c>
      <c r="E431" s="3">
        <f t="shared" si="3"/>
        <v>4</v>
      </c>
    </row>
    <row r="432" ht="15.75" customHeight="1">
      <c r="A432" s="1" t="s">
        <v>465</v>
      </c>
      <c r="B432" s="1" t="str">
        <f>VLOOKUP(0,Inputs!C2:D5,2,TRUE)</f>
        <v>#N/A</v>
      </c>
      <c r="C432" s="1">
        <f t="shared" si="1"/>
        <v>16</v>
      </c>
      <c r="D432" s="1">
        <f t="shared" si="2"/>
        <v>7</v>
      </c>
      <c r="E432" s="1" t="str">
        <f t="shared" si="3"/>
        <v>#N/A</v>
      </c>
    </row>
    <row r="433" ht="15.75" customHeight="1">
      <c r="A433" s="3" t="s">
        <v>466</v>
      </c>
      <c r="B433" s="3">
        <f>VLOOKUP(1000,Inputs!C2:D5,2,TRUE)</f>
        <v>8.4</v>
      </c>
      <c r="C433" s="3">
        <f t="shared" si="1"/>
        <v>1</v>
      </c>
      <c r="D433" s="3" t="str">
        <f t="shared" si="2"/>
        <v/>
      </c>
      <c r="E433" s="3">
        <f t="shared" si="3"/>
        <v>3</v>
      </c>
    </row>
    <row r="434" ht="15.75" customHeight="1">
      <c r="A434" s="1" t="s">
        <v>467</v>
      </c>
      <c r="B434" s="1">
        <f>VLOOKUP(50,Inputs!C2:D5,2,FALSE)</f>
        <v>11</v>
      </c>
      <c r="C434" s="1">
        <f t="shared" si="1"/>
        <v>1</v>
      </c>
      <c r="D434" s="1" t="str">
        <f t="shared" si="2"/>
        <v/>
      </c>
      <c r="E434" s="1">
        <f t="shared" si="3"/>
        <v>2</v>
      </c>
    </row>
    <row r="435" ht="15.75" customHeight="1">
      <c r="A435" s="3" t="s">
        <v>468</v>
      </c>
      <c r="B435" s="3" t="str">
        <f>VLOOKUP(51,Inputs!C2:D5,2,FALSE)</f>
        <v>#N/A</v>
      </c>
      <c r="C435" s="3">
        <f t="shared" si="1"/>
        <v>16</v>
      </c>
      <c r="D435" s="3">
        <f t="shared" si="2"/>
        <v>7</v>
      </c>
      <c r="E435" s="3" t="str">
        <f t="shared" si="3"/>
        <v>#N/A</v>
      </c>
    </row>
    <row r="436" ht="15.75" customHeight="1">
      <c r="A436" s="1" t="s">
        <v>469</v>
      </c>
      <c r="B436" s="1" t="str">
        <f>VLOOKUP(50,Inputs!C2:D5,3,FALSE)</f>
        <v>#REF!</v>
      </c>
      <c r="C436" s="1">
        <f t="shared" si="1"/>
        <v>16</v>
      </c>
      <c r="D436" s="1">
        <f t="shared" si="2"/>
        <v>4</v>
      </c>
      <c r="E436" s="1" t="str">
        <f t="shared" si="3"/>
        <v>#REF!</v>
      </c>
    </row>
    <row r="437" ht="15.75" customHeight="1">
      <c r="A437" s="3" t="s">
        <v>470</v>
      </c>
      <c r="B437" s="3" t="str">
        <f>VLOOKUP("min_qty",Inputs!C1:D5,2,FALSE)</f>
        <v>unit_price</v>
      </c>
      <c r="C437" s="3">
        <f t="shared" si="1"/>
        <v>2</v>
      </c>
      <c r="D437" s="3" t="str">
        <f t="shared" si="2"/>
        <v/>
      </c>
      <c r="E437" s="3">
        <f t="shared" si="3"/>
        <v>10</v>
      </c>
    </row>
    <row r="438" ht="15.75" customHeight="1">
      <c r="A438" s="1" t="s">
        <v>471</v>
      </c>
      <c r="B438" s="1">
        <f>VLOOKUP(120,Inputs!C1:D5,2,TRUE)</f>
        <v>9.75</v>
      </c>
      <c r="C438" s="1">
        <f t="shared" si="1"/>
        <v>1</v>
      </c>
      <c r="D438" s="1" t="str">
        <f t="shared" si="2"/>
        <v/>
      </c>
      <c r="E438" s="1">
        <f t="shared" si="3"/>
        <v>4</v>
      </c>
    </row>
    <row r="439" ht="15.75" customHeight="1">
      <c r="A439" s="3" t="s">
        <v>472</v>
      </c>
      <c r="B439" s="3">
        <f>HLOOKUP("b",Inputs!K1:N2,2,FALSE)</f>
        <v>2</v>
      </c>
      <c r="C439" s="3">
        <f t="shared" si="1"/>
        <v>1</v>
      </c>
      <c r="D439" s="3" t="str">
        <f t="shared" si="2"/>
        <v/>
      </c>
      <c r="E439" s="3">
        <f t="shared" si="3"/>
        <v>1</v>
      </c>
    </row>
    <row r="440" ht="15.75" customHeight="1">
      <c r="A440" s="1" t="s">
        <v>473</v>
      </c>
      <c r="B440" s="1" t="str">
        <f>HLOOKUP("z",Inputs!K1:N2,2,FALSE)</f>
        <v>#N/A</v>
      </c>
      <c r="C440" s="1">
        <f t="shared" si="1"/>
        <v>16</v>
      </c>
      <c r="D440" s="1">
        <f t="shared" si="2"/>
        <v>7</v>
      </c>
      <c r="E440" s="1" t="str">
        <f t="shared" si="3"/>
        <v>#N/A</v>
      </c>
    </row>
    <row r="441" ht="15.75" customHeight="1">
      <c r="A441" s="3" t="s">
        <v>474</v>
      </c>
      <c r="B441" s="3">
        <f>HLOOKUP("bb",Inputs!K1:N2,2,TRUE)</f>
        <v>2</v>
      </c>
      <c r="C441" s="3">
        <f t="shared" si="1"/>
        <v>1</v>
      </c>
      <c r="D441" s="3" t="str">
        <f t="shared" si="2"/>
        <v/>
      </c>
      <c r="E441" s="3">
        <f t="shared" si="3"/>
        <v>1</v>
      </c>
    </row>
    <row r="442" ht="15.75" customHeight="1">
      <c r="A442" s="1" t="s">
        <v>475</v>
      </c>
      <c r="B442" s="1" t="str">
        <f>HLOOKUP("a",Inputs!K1:N2,3,FALSE)</f>
        <v>#REF!</v>
      </c>
      <c r="C442" s="1">
        <f t="shared" si="1"/>
        <v>16</v>
      </c>
      <c r="D442" s="1">
        <f t="shared" si="2"/>
        <v>4</v>
      </c>
      <c r="E442" s="1" t="str">
        <f t="shared" si="3"/>
        <v>#REF!</v>
      </c>
    </row>
    <row r="443" ht="15.75" customHeight="1">
      <c r="A443" s="3" t="s">
        <v>476</v>
      </c>
      <c r="B443" s="3">
        <f t="array" ref="B443">_xlfn.XLOOKUP(50,Inputs!C2:C5,Inputs!D2:D5)</f>
        <v>11</v>
      </c>
      <c r="C443" s="3">
        <f t="shared" si="1"/>
        <v>1</v>
      </c>
      <c r="D443" s="3" t="str">
        <f t="shared" si="2"/>
        <v/>
      </c>
      <c r="E443" s="3">
        <f t="shared" si="3"/>
        <v>2</v>
      </c>
    </row>
    <row r="444" ht="15.75" customHeight="1">
      <c r="A444" s="1" t="s">
        <v>477</v>
      </c>
      <c r="B444" s="1" t="str">
        <f t="array" ref="B444">_xlfn.XLOOKUP(51,Inputs!C2:C5,Inputs!D2:D5,"none")</f>
        <v>none</v>
      </c>
      <c r="C444" s="1">
        <f t="shared" si="1"/>
        <v>2</v>
      </c>
      <c r="D444" s="1" t="str">
        <f t="shared" si="2"/>
        <v/>
      </c>
      <c r="E444" s="1">
        <f t="shared" si="3"/>
        <v>4</v>
      </c>
    </row>
    <row r="445" ht="15.75" customHeight="1">
      <c r="A445" s="3" t="s">
        <v>478</v>
      </c>
      <c r="B445" s="3">
        <f t="array" ref="B445">_xlfn.XLOOKUP(120,Inputs!C2:C5,Inputs!D2:D5,,-1)</f>
        <v>9.75</v>
      </c>
      <c r="C445" s="3">
        <f t="shared" si="1"/>
        <v>1</v>
      </c>
      <c r="D445" s="3" t="str">
        <f t="shared" si="2"/>
        <v/>
      </c>
      <c r="E445" s="3">
        <f t="shared" si="3"/>
        <v>4</v>
      </c>
    </row>
    <row r="446" ht="15.75" customHeight="1">
      <c r="A446" s="1" t="s">
        <v>479</v>
      </c>
      <c r="B446" s="1">
        <f t="array" ref="B446">_xlfn.XLOOKUP(120,Inputs!C2:C5,Inputs!D2:D5,,1)</f>
        <v>8.4</v>
      </c>
      <c r="C446" s="1">
        <f t="shared" si="1"/>
        <v>1</v>
      </c>
      <c r="D446" s="1" t="str">
        <f t="shared" si="2"/>
        <v/>
      </c>
      <c r="E446" s="1">
        <f t="shared" si="3"/>
        <v>3</v>
      </c>
    </row>
    <row r="447" ht="15.75" customHeight="1">
      <c r="A447" s="3" t="s">
        <v>480</v>
      </c>
      <c r="B447" s="3" t="str">
        <f t="array" ref="B447">_xlfn.XLOOKUP(51,Inputs!C2:C5,Inputs!D2:D5)</f>
        <v>#N/A</v>
      </c>
      <c r="C447" s="3">
        <f t="shared" si="1"/>
        <v>16</v>
      </c>
      <c r="D447" s="3">
        <f t="shared" si="2"/>
        <v>7</v>
      </c>
      <c r="E447" s="3" t="str">
        <f t="shared" si="3"/>
        <v>#N/A</v>
      </c>
    </row>
    <row r="448" ht="15.75" customHeight="1">
      <c r="A448" s="1" t="s">
        <v>481</v>
      </c>
      <c r="B448" s="1">
        <f t="array" ref="B448">_xlfn.XLOOKUP("a?ple",Inputs!G1:G4,Inputs!H1:H4,,2)</f>
        <v>100</v>
      </c>
      <c r="C448" s="1">
        <f t="shared" si="1"/>
        <v>1</v>
      </c>
      <c r="D448" s="1" t="str">
        <f t="shared" si="2"/>
        <v/>
      </c>
      <c r="E448" s="1">
        <f t="shared" si="3"/>
        <v>3</v>
      </c>
    </row>
    <row r="449" ht="15.75" customHeight="1">
      <c r="A449" s="3" t="s">
        <v>482</v>
      </c>
      <c r="B449" s="3">
        <f t="array" ref="B449">INDEX(Inputs!C1:D5,3,2)</f>
        <v>11</v>
      </c>
      <c r="C449" s="3">
        <f t="shared" si="1"/>
        <v>1</v>
      </c>
      <c r="D449" s="3" t="str">
        <f t="shared" si="2"/>
        <v/>
      </c>
      <c r="E449" s="3">
        <f t="shared" si="3"/>
        <v>2</v>
      </c>
    </row>
    <row r="450" ht="15.75" customHeight="1">
      <c r="A450" s="1" t="s">
        <v>483</v>
      </c>
      <c r="B450" s="1">
        <f t="array" ref="B450">INDEX(Inputs!B1:B5,4)</f>
        <v>4</v>
      </c>
      <c r="C450" s="1">
        <f t="shared" si="1"/>
        <v>1</v>
      </c>
      <c r="D450" s="1" t="str">
        <f t="shared" si="2"/>
        <v/>
      </c>
      <c r="E450" s="1">
        <f t="shared" si="3"/>
        <v>1</v>
      </c>
    </row>
    <row r="451" ht="15.75" customHeight="1">
      <c r="A451" s="3" t="s">
        <v>484</v>
      </c>
      <c r="B451" s="3" t="str">
        <f t="array" ref="B451">INDEX(Inputs!B1:B5,9)</f>
        <v>#NUM!</v>
      </c>
      <c r="C451" s="3">
        <f t="shared" si="1"/>
        <v>16</v>
      </c>
      <c r="D451" s="3">
        <f t="shared" si="2"/>
        <v>6</v>
      </c>
      <c r="E451" s="3" t="str">
        <f t="shared" si="3"/>
        <v>#NUM!</v>
      </c>
    </row>
    <row r="452" ht="15.75" customHeight="1">
      <c r="A452" s="1" t="s">
        <v>485</v>
      </c>
      <c r="B452" s="1">
        <f t="array" ref="B452">SUM(INDEX(Inputs!C2:D5,0,2))</f>
        <v>41.65</v>
      </c>
      <c r="C452" s="1">
        <f t="shared" si="1"/>
        <v>1</v>
      </c>
      <c r="D452" s="1" t="str">
        <f t="shared" si="2"/>
        <v/>
      </c>
      <c r="E452" s="1">
        <f t="shared" si="3"/>
        <v>5</v>
      </c>
    </row>
    <row r="453" ht="15.75" customHeight="1">
      <c r="A453" s="3" t="s">
        <v>486</v>
      </c>
      <c r="B453" s="3">
        <f t="array" ref="B453">SUM(INDEX(Inputs!C2:D5,,2))</f>
        <v>41.65</v>
      </c>
      <c r="C453" s="3">
        <f t="shared" si="1"/>
        <v>1</v>
      </c>
      <c r="D453" s="3" t="str">
        <f t="shared" si="2"/>
        <v/>
      </c>
      <c r="E453" s="3">
        <f t="shared" si="3"/>
        <v>5</v>
      </c>
    </row>
    <row r="454" ht="15.75" customHeight="1">
      <c r="A454" s="1" t="s">
        <v>487</v>
      </c>
      <c r="B454" s="1">
        <f t="array" ref="B454">INDEX(Inputs!K1:N2,2,3)</f>
        <v>3</v>
      </c>
      <c r="C454" s="1">
        <f t="shared" si="1"/>
        <v>1</v>
      </c>
      <c r="D454" s="1" t="str">
        <f t="shared" si="2"/>
        <v/>
      </c>
      <c r="E454" s="1">
        <f t="shared" si="3"/>
        <v>1</v>
      </c>
    </row>
    <row r="455" ht="15.75" customHeight="1">
      <c r="A455" s="3" t="s">
        <v>488</v>
      </c>
      <c r="B455" s="3">
        <f>MATCH(120,Inputs!C2:C5,1)</f>
        <v>3</v>
      </c>
      <c r="C455" s="3">
        <f t="shared" si="1"/>
        <v>1</v>
      </c>
      <c r="D455" s="3" t="str">
        <f t="shared" si="2"/>
        <v/>
      </c>
      <c r="E455" s="3">
        <f t="shared" si="3"/>
        <v>1</v>
      </c>
    </row>
    <row r="456" ht="15.75" customHeight="1">
      <c r="A456" s="1" t="s">
        <v>489</v>
      </c>
      <c r="B456" s="1">
        <f>MATCH(50,Inputs!C2:C5,0)</f>
        <v>2</v>
      </c>
      <c r="C456" s="1">
        <f t="shared" si="1"/>
        <v>1</v>
      </c>
      <c r="D456" s="1" t="str">
        <f t="shared" si="2"/>
        <v/>
      </c>
      <c r="E456" s="1">
        <f t="shared" si="3"/>
        <v>1</v>
      </c>
    </row>
    <row r="457" ht="15.75" customHeight="1">
      <c r="A457" s="3" t="s">
        <v>490</v>
      </c>
      <c r="B457" s="3">
        <f>MATCH("BANANA",Inputs!G1:G4,0)</f>
        <v>2</v>
      </c>
      <c r="C457" s="3">
        <f t="shared" si="1"/>
        <v>1</v>
      </c>
      <c r="D457" s="3" t="str">
        <f t="shared" si="2"/>
        <v/>
      </c>
      <c r="E457" s="3">
        <f t="shared" si="3"/>
        <v>1</v>
      </c>
    </row>
    <row r="458" ht="15.75" customHeight="1">
      <c r="A458" s="1" t="s">
        <v>491</v>
      </c>
      <c r="B458" s="1" t="str">
        <f>MATCH(0,Inputs!C2:C5,1)</f>
        <v>#N/A</v>
      </c>
      <c r="C458" s="1">
        <f t="shared" si="1"/>
        <v>16</v>
      </c>
      <c r="D458" s="1">
        <f t="shared" si="2"/>
        <v>7</v>
      </c>
      <c r="E458" s="1" t="str">
        <f t="shared" si="3"/>
        <v>#N/A</v>
      </c>
    </row>
    <row r="459" ht="15.75" customHeight="1">
      <c r="A459" s="3" t="s">
        <v>492</v>
      </c>
      <c r="B459" s="3">
        <f t="array" ref="B459">MATCH(15,{30,20,10},-1)</f>
        <v>2</v>
      </c>
      <c r="C459" s="3">
        <f t="shared" si="1"/>
        <v>1</v>
      </c>
      <c r="D459" s="3" t="str">
        <f t="shared" si="2"/>
        <v/>
      </c>
      <c r="E459" s="3">
        <f t="shared" si="3"/>
        <v>1</v>
      </c>
    </row>
    <row r="460" ht="15.75" customHeight="1">
      <c r="A460" s="1" t="s">
        <v>493</v>
      </c>
      <c r="B460" s="1">
        <f>MATCH("b*",Inputs!G1:G4,0)</f>
        <v>2</v>
      </c>
      <c r="C460" s="1">
        <f t="shared" si="1"/>
        <v>1</v>
      </c>
      <c r="D460" s="1" t="str">
        <f t="shared" si="2"/>
        <v/>
      </c>
      <c r="E460" s="1">
        <f t="shared" si="3"/>
        <v>1</v>
      </c>
    </row>
    <row r="461" ht="15.75" customHeight="1">
      <c r="A461" s="3" t="s">
        <v>494</v>
      </c>
      <c r="B461" s="3">
        <f>MATCH(120,Inputs!C2:C5)</f>
        <v>3</v>
      </c>
      <c r="C461" s="3">
        <f t="shared" si="1"/>
        <v>1</v>
      </c>
      <c r="D461" s="3" t="str">
        <f t="shared" si="2"/>
        <v/>
      </c>
      <c r="E461" s="3">
        <f t="shared" si="3"/>
        <v>1</v>
      </c>
    </row>
    <row r="462" ht="15.75" customHeight="1">
      <c r="A462" s="1" t="s">
        <v>495</v>
      </c>
      <c r="B462" s="1">
        <f>LOOKUP(120,Inputs!C2:C5,Inputs!D2:D5)</f>
        <v>9.75</v>
      </c>
      <c r="C462" s="1">
        <f t="shared" si="1"/>
        <v>1</v>
      </c>
      <c r="D462" s="1" t="str">
        <f t="shared" si="2"/>
        <v/>
      </c>
      <c r="E462" s="1">
        <f t="shared" si="3"/>
        <v>4</v>
      </c>
    </row>
    <row r="463" ht="15.75" customHeight="1">
      <c r="A463" s="3" t="s">
        <v>496</v>
      </c>
      <c r="B463" s="3" t="str">
        <f>LOOKUP(0,Inputs!C2:C5,Inputs!D2:D5)</f>
        <v>#N/A</v>
      </c>
      <c r="C463" s="3">
        <f t="shared" si="1"/>
        <v>16</v>
      </c>
      <c r="D463" s="3">
        <f t="shared" si="2"/>
        <v>7</v>
      </c>
      <c r="E463" s="3" t="str">
        <f t="shared" si="3"/>
        <v>#N/A</v>
      </c>
    </row>
    <row r="464" ht="15.75" customHeight="1">
      <c r="A464" s="1" t="s">
        <v>497</v>
      </c>
      <c r="B464" s="1">
        <f>LOOKUP(120,Inputs!C2:D5)</f>
        <v>9.75</v>
      </c>
      <c r="C464" s="1">
        <f t="shared" si="1"/>
        <v>1</v>
      </c>
      <c r="D464" s="1" t="str">
        <f t="shared" si="2"/>
        <v/>
      </c>
      <c r="E464" s="1">
        <f t="shared" si="3"/>
        <v>4</v>
      </c>
    </row>
    <row r="465" ht="15.75" customHeight="1">
      <c r="A465" s="3" t="s">
        <v>498</v>
      </c>
      <c r="B465" s="3" t="str">
        <f>CHOOSE(2,"a","b","c")</f>
        <v>b</v>
      </c>
      <c r="C465" s="3">
        <f t="shared" si="1"/>
        <v>2</v>
      </c>
      <c r="D465" s="3" t="str">
        <f t="shared" si="2"/>
        <v/>
      </c>
      <c r="E465" s="3">
        <f t="shared" si="3"/>
        <v>1</v>
      </c>
    </row>
    <row r="466" ht="15.75" customHeight="1">
      <c r="A466" s="1" t="s">
        <v>499</v>
      </c>
      <c r="B466" s="1" t="str">
        <f>CHOOSE(4,"a","b")</f>
        <v>#NUM!</v>
      </c>
      <c r="C466" s="1">
        <f t="shared" si="1"/>
        <v>16</v>
      </c>
      <c r="D466" s="1">
        <f t="shared" si="2"/>
        <v>6</v>
      </c>
      <c r="E466" s="1" t="str">
        <f t="shared" si="3"/>
        <v>#NUM!</v>
      </c>
    </row>
    <row r="467" ht="15.75" customHeight="1">
      <c r="A467" s="3" t="s">
        <v>500</v>
      </c>
      <c r="B467" s="3" t="str">
        <f>CHOOSE(1.9,"a","b")</f>
        <v>a</v>
      </c>
      <c r="C467" s="3">
        <f t="shared" si="1"/>
        <v>2</v>
      </c>
      <c r="D467" s="3" t="str">
        <f t="shared" si="2"/>
        <v/>
      </c>
      <c r="E467" s="3">
        <f t="shared" si="3"/>
        <v>1</v>
      </c>
    </row>
    <row r="468" ht="15.75" customHeight="1">
      <c r="A468" s="1" t="s">
        <v>501</v>
      </c>
      <c r="B468" s="1" t="str">
        <f>CHOOSE(0,"a")</f>
        <v>#NUM!</v>
      </c>
      <c r="C468" s="1">
        <f t="shared" si="1"/>
        <v>16</v>
      </c>
      <c r="D468" s="1">
        <f t="shared" si="2"/>
        <v>6</v>
      </c>
      <c r="E468" s="1" t="str">
        <f t="shared" si="3"/>
        <v>#NUM!</v>
      </c>
    </row>
    <row r="469" ht="15.75" customHeight="1">
      <c r="A469" s="3" t="s">
        <v>502</v>
      </c>
      <c r="B469" s="3">
        <f>ROWS(Inputs!C1:D5)</f>
        <v>5</v>
      </c>
      <c r="C469" s="3">
        <f t="shared" si="1"/>
        <v>1</v>
      </c>
      <c r="D469" s="3" t="str">
        <f t="shared" si="2"/>
        <v/>
      </c>
      <c r="E469" s="3">
        <f t="shared" si="3"/>
        <v>1</v>
      </c>
    </row>
    <row r="470" ht="15.75" customHeight="1">
      <c r="A470" s="1" t="s">
        <v>503</v>
      </c>
      <c r="B470" s="1">
        <f t="array" ref="B470">ROWS({1;2;3})</f>
        <v>3</v>
      </c>
      <c r="C470" s="1">
        <f t="shared" si="1"/>
        <v>1</v>
      </c>
      <c r="D470" s="1" t="str">
        <f t="shared" si="2"/>
        <v/>
      </c>
      <c r="E470" s="1">
        <f t="shared" si="3"/>
        <v>1</v>
      </c>
    </row>
    <row r="471" ht="15.75" customHeight="1">
      <c r="A471" s="3" t="s">
        <v>504</v>
      </c>
      <c r="B471" s="3">
        <f>ROWS(Inputs!K1:N2)</f>
        <v>2</v>
      </c>
      <c r="C471" s="3">
        <f t="shared" si="1"/>
        <v>1</v>
      </c>
      <c r="D471" s="3" t="str">
        <f t="shared" si="2"/>
        <v/>
      </c>
      <c r="E471" s="3">
        <f t="shared" si="3"/>
        <v>1</v>
      </c>
    </row>
    <row r="472" ht="15.75" customHeight="1">
      <c r="A472" s="1" t="s">
        <v>505</v>
      </c>
      <c r="B472" s="1">
        <f>COLUMNS(Inputs!C1:D5)</f>
        <v>2</v>
      </c>
      <c r="C472" s="1">
        <f t="shared" si="1"/>
        <v>1</v>
      </c>
      <c r="D472" s="1" t="str">
        <f t="shared" si="2"/>
        <v/>
      </c>
      <c r="E472" s="1">
        <f t="shared" si="3"/>
        <v>1</v>
      </c>
    </row>
    <row r="473" ht="15.75" customHeight="1">
      <c r="A473" s="3" t="s">
        <v>506</v>
      </c>
      <c r="B473" s="3">
        <f t="array" ref="B473">COLUMNS({1,2,3,4})</f>
        <v>4</v>
      </c>
      <c r="C473" s="3">
        <f t="shared" si="1"/>
        <v>1</v>
      </c>
      <c r="D473" s="3" t="str">
        <f t="shared" si="2"/>
        <v/>
      </c>
      <c r="E473" s="3">
        <f t="shared" si="3"/>
        <v>1</v>
      </c>
    </row>
    <row r="474" ht="15.75" customHeight="1">
      <c r="A474" s="1" t="s">
        <v>507</v>
      </c>
      <c r="B474" s="1">
        <f>COLUMNS(Inputs!K1:N2)</f>
        <v>4</v>
      </c>
      <c r="C474" s="1">
        <f t="shared" si="1"/>
        <v>1</v>
      </c>
      <c r="D474" s="1" t="str">
        <f t="shared" si="2"/>
        <v/>
      </c>
      <c r="E474" s="1">
        <f t="shared" si="3"/>
        <v>1</v>
      </c>
    </row>
    <row r="475" ht="15.75" customHeight="1">
      <c r="A475" s="3" t="s">
        <v>508</v>
      </c>
      <c r="B475" s="3" t="b">
        <f>ISBLANK(Inputs!O1)</f>
        <v>1</v>
      </c>
      <c r="C475" s="3">
        <f t="shared" si="1"/>
        <v>4</v>
      </c>
      <c r="D475" s="3" t="str">
        <f t="shared" si="2"/>
        <v/>
      </c>
      <c r="E475" s="3">
        <f t="shared" si="3"/>
        <v>4</v>
      </c>
    </row>
    <row r="476" ht="15.75" customHeight="1">
      <c r="A476" s="1" t="s">
        <v>509</v>
      </c>
      <c r="B476" s="1" t="b">
        <f>ISBLANK("")</f>
        <v>0</v>
      </c>
      <c r="C476" s="1">
        <f t="shared" si="1"/>
        <v>4</v>
      </c>
      <c r="D476" s="1" t="str">
        <f t="shared" si="2"/>
        <v/>
      </c>
      <c r="E476" s="1">
        <f t="shared" si="3"/>
        <v>5</v>
      </c>
    </row>
    <row r="477" ht="15.75" customHeight="1">
      <c r="A477" s="3" t="s">
        <v>510</v>
      </c>
      <c r="B477" s="3" t="b">
        <f>ISBLANK(Inputs!B1)</f>
        <v>0</v>
      </c>
      <c r="C477" s="3">
        <f t="shared" si="1"/>
        <v>4</v>
      </c>
      <c r="D477" s="3" t="str">
        <f t="shared" si="2"/>
        <v/>
      </c>
      <c r="E477" s="3">
        <f t="shared" si="3"/>
        <v>5</v>
      </c>
    </row>
    <row r="478" ht="15.75" customHeight="1">
      <c r="A478" s="1" t="s">
        <v>511</v>
      </c>
      <c r="B478" s="1" t="b">
        <f>ISERROR(1/0)</f>
        <v>1</v>
      </c>
      <c r="C478" s="1">
        <f t="shared" si="1"/>
        <v>4</v>
      </c>
      <c r="D478" s="1" t="str">
        <f t="shared" si="2"/>
        <v/>
      </c>
      <c r="E478" s="1">
        <f t="shared" si="3"/>
        <v>4</v>
      </c>
    </row>
    <row r="479" ht="15.75" customHeight="1">
      <c r="A479" s="3" t="s">
        <v>512</v>
      </c>
      <c r="B479" s="3" t="b">
        <f>ISERROR(NA())</f>
        <v>1</v>
      </c>
      <c r="C479" s="3">
        <f t="shared" si="1"/>
        <v>4</v>
      </c>
      <c r="D479" s="3" t="str">
        <f t="shared" si="2"/>
        <v/>
      </c>
      <c r="E479" s="3">
        <f t="shared" si="3"/>
        <v>4</v>
      </c>
    </row>
    <row r="480" ht="15.75" customHeight="1">
      <c r="A480" s="1" t="s">
        <v>513</v>
      </c>
      <c r="B480" s="1" t="b">
        <f>ISERROR(1)</f>
        <v>0</v>
      </c>
      <c r="C480" s="1">
        <f t="shared" si="1"/>
        <v>4</v>
      </c>
      <c r="D480" s="1" t="str">
        <f t="shared" si="2"/>
        <v/>
      </c>
      <c r="E480" s="1">
        <f t="shared" si="3"/>
        <v>5</v>
      </c>
    </row>
    <row r="481" ht="15.75" customHeight="1">
      <c r="A481" s="3" t="s">
        <v>514</v>
      </c>
      <c r="B481" s="3" t="b">
        <f>ISERR(NA())</f>
        <v>0</v>
      </c>
      <c r="C481" s="3">
        <f t="shared" si="1"/>
        <v>4</v>
      </c>
      <c r="D481" s="3" t="str">
        <f t="shared" si="2"/>
        <v/>
      </c>
      <c r="E481" s="3">
        <f t="shared" si="3"/>
        <v>5</v>
      </c>
    </row>
    <row r="482" ht="15.75" customHeight="1">
      <c r="A482" s="1" t="s">
        <v>515</v>
      </c>
      <c r="B482" s="1" t="b">
        <f>ISERR(1/0)</f>
        <v>1</v>
      </c>
      <c r="C482" s="1">
        <f t="shared" si="1"/>
        <v>4</v>
      </c>
      <c r="D482" s="1" t="str">
        <f t="shared" si="2"/>
        <v/>
      </c>
      <c r="E482" s="1">
        <f t="shared" si="3"/>
        <v>4</v>
      </c>
    </row>
    <row r="483" ht="15.75" customHeight="1">
      <c r="A483" s="3" t="s">
        <v>516</v>
      </c>
      <c r="B483" s="3" t="b">
        <f>ISERR("x")</f>
        <v>0</v>
      </c>
      <c r="C483" s="3">
        <f t="shared" si="1"/>
        <v>4</v>
      </c>
      <c r="D483" s="3" t="str">
        <f t="shared" si="2"/>
        <v/>
      </c>
      <c r="E483" s="3">
        <f t="shared" si="3"/>
        <v>5</v>
      </c>
    </row>
    <row r="484" ht="15.75" customHeight="1">
      <c r="A484" s="1" t="s">
        <v>517</v>
      </c>
      <c r="B484" s="1" t="b">
        <f>ISNA(NA())</f>
        <v>1</v>
      </c>
      <c r="C484" s="1">
        <f t="shared" si="1"/>
        <v>4</v>
      </c>
      <c r="D484" s="1" t="str">
        <f t="shared" si="2"/>
        <v/>
      </c>
      <c r="E484" s="1">
        <f t="shared" si="3"/>
        <v>4</v>
      </c>
    </row>
    <row r="485" ht="15.75" customHeight="1">
      <c r="A485" s="3" t="s">
        <v>518</v>
      </c>
      <c r="B485" s="3" t="b">
        <f>ISNA(1/0)</f>
        <v>0</v>
      </c>
      <c r="C485" s="3">
        <f t="shared" si="1"/>
        <v>4</v>
      </c>
      <c r="D485" s="3" t="str">
        <f t="shared" si="2"/>
        <v/>
      </c>
      <c r="E485" s="3">
        <f t="shared" si="3"/>
        <v>5</v>
      </c>
    </row>
    <row r="486" ht="15.75" customHeight="1">
      <c r="A486" s="1" t="s">
        <v>519</v>
      </c>
      <c r="B486" s="1" t="b">
        <f>ISNA(VLOOKUP(51,Inputs!C2:D5,2,FALSE))</f>
        <v>1</v>
      </c>
      <c r="C486" s="1">
        <f t="shared" si="1"/>
        <v>4</v>
      </c>
      <c r="D486" s="1" t="str">
        <f t="shared" si="2"/>
        <v/>
      </c>
      <c r="E486" s="1">
        <f t="shared" si="3"/>
        <v>4</v>
      </c>
    </row>
    <row r="487" ht="15.75" customHeight="1">
      <c r="A487" s="3" t="s">
        <v>520</v>
      </c>
      <c r="B487" s="3" t="b">
        <f>ISNUMBER(1)</f>
        <v>1</v>
      </c>
      <c r="C487" s="3">
        <f t="shared" si="1"/>
        <v>4</v>
      </c>
      <c r="D487" s="3" t="str">
        <f t="shared" si="2"/>
        <v/>
      </c>
      <c r="E487" s="3">
        <f t="shared" si="3"/>
        <v>4</v>
      </c>
    </row>
    <row r="488" ht="15.75" customHeight="1">
      <c r="A488" s="1" t="s">
        <v>521</v>
      </c>
      <c r="B488" s="1" t="b">
        <f>ISNUMBER("1")</f>
        <v>0</v>
      </c>
      <c r="C488" s="1">
        <f t="shared" si="1"/>
        <v>4</v>
      </c>
      <c r="D488" s="1" t="str">
        <f t="shared" si="2"/>
        <v/>
      </c>
      <c r="E488" s="1">
        <f t="shared" si="3"/>
        <v>5</v>
      </c>
    </row>
    <row r="489" ht="15.75" customHeight="1">
      <c r="A489" s="3" t="s">
        <v>522</v>
      </c>
      <c r="B489" s="3" t="b">
        <f>ISNUMBER(Inputs!A2)</f>
        <v>0</v>
      </c>
      <c r="C489" s="3">
        <f t="shared" si="1"/>
        <v>4</v>
      </c>
      <c r="D489" s="3" t="str">
        <f t="shared" si="2"/>
        <v/>
      </c>
      <c r="E489" s="3">
        <f t="shared" si="3"/>
        <v>5</v>
      </c>
    </row>
    <row r="490" ht="15.75" customHeight="1">
      <c r="A490" s="1" t="s">
        <v>523</v>
      </c>
      <c r="B490" s="1" t="b">
        <f>ISNUMBER(DATE(2026,1,1))</f>
        <v>1</v>
      </c>
      <c r="C490" s="1">
        <f t="shared" si="1"/>
        <v>4</v>
      </c>
      <c r="D490" s="1" t="str">
        <f t="shared" si="2"/>
        <v/>
      </c>
      <c r="E490" s="1">
        <f t="shared" si="3"/>
        <v>4</v>
      </c>
    </row>
    <row r="491" ht="15.75" customHeight="1">
      <c r="A491" s="3" t="s">
        <v>524</v>
      </c>
      <c r="B491" s="3" t="b">
        <f>ISTEXT("a")</f>
        <v>1</v>
      </c>
      <c r="C491" s="3">
        <f t="shared" si="1"/>
        <v>4</v>
      </c>
      <c r="D491" s="3" t="str">
        <f t="shared" si="2"/>
        <v/>
      </c>
      <c r="E491" s="3">
        <f t="shared" si="3"/>
        <v>4</v>
      </c>
    </row>
    <row r="492" ht="15.75" customHeight="1">
      <c r="A492" s="1" t="s">
        <v>525</v>
      </c>
      <c r="B492" s="1" t="b">
        <f>ISTEXT(1)</f>
        <v>0</v>
      </c>
      <c r="C492" s="1">
        <f t="shared" si="1"/>
        <v>4</v>
      </c>
      <c r="D492" s="1" t="str">
        <f t="shared" si="2"/>
        <v/>
      </c>
      <c r="E492" s="1">
        <f t="shared" si="3"/>
        <v>5</v>
      </c>
    </row>
    <row r="493" ht="15.75" customHeight="1">
      <c r="A493" s="3" t="s">
        <v>526</v>
      </c>
      <c r="B493" s="3" t="b">
        <f>ISTEXT(Inputs!O1)</f>
        <v>0</v>
      </c>
      <c r="C493" s="3">
        <f t="shared" si="1"/>
        <v>4</v>
      </c>
      <c r="D493" s="3" t="str">
        <f t="shared" si="2"/>
        <v/>
      </c>
      <c r="E493" s="3">
        <f t="shared" si="3"/>
        <v>5</v>
      </c>
    </row>
    <row r="494" ht="15.75" customHeight="1">
      <c r="A494" s="1" t="s">
        <v>527</v>
      </c>
      <c r="B494" s="1" t="b">
        <f>ISLOGICAL(TRUE)</f>
        <v>1</v>
      </c>
      <c r="C494" s="1">
        <f t="shared" si="1"/>
        <v>4</v>
      </c>
      <c r="D494" s="1" t="str">
        <f t="shared" si="2"/>
        <v/>
      </c>
      <c r="E494" s="1">
        <f t="shared" si="3"/>
        <v>4</v>
      </c>
    </row>
    <row r="495" ht="15.75" customHeight="1">
      <c r="A495" s="3" t="s">
        <v>528</v>
      </c>
      <c r="B495" s="3" t="b">
        <f>ISLOGICAL(1)</f>
        <v>0</v>
      </c>
      <c r="C495" s="3">
        <f t="shared" si="1"/>
        <v>4</v>
      </c>
      <c r="D495" s="3" t="str">
        <f t="shared" si="2"/>
        <v/>
      </c>
      <c r="E495" s="3">
        <f t="shared" si="3"/>
        <v>5</v>
      </c>
    </row>
    <row r="496" ht="15.75" customHeight="1">
      <c r="A496" s="1" t="s">
        <v>529</v>
      </c>
      <c r="B496" s="1" t="b">
        <f>ISLOGICAL("TRUE")</f>
        <v>0</v>
      </c>
      <c r="C496" s="1">
        <f t="shared" si="1"/>
        <v>4</v>
      </c>
      <c r="D496" s="1" t="str">
        <f t="shared" si="2"/>
        <v/>
      </c>
      <c r="E496" s="1">
        <f t="shared" si="3"/>
        <v>5</v>
      </c>
    </row>
    <row r="497" ht="15.75" customHeight="1">
      <c r="A497" s="3" t="s">
        <v>530</v>
      </c>
      <c r="B497" s="3" t="str">
        <f>NA()</f>
        <v>#N/A</v>
      </c>
      <c r="C497" s="3">
        <f t="shared" si="1"/>
        <v>16</v>
      </c>
      <c r="D497" s="3">
        <f t="shared" si="2"/>
        <v>7</v>
      </c>
      <c r="E497" s="3" t="str">
        <f t="shared" si="3"/>
        <v>#N/A</v>
      </c>
    </row>
    <row r="498" ht="15.75" customHeight="1">
      <c r="A498" s="1" t="s">
        <v>531</v>
      </c>
      <c r="B498" s="1" t="str">
        <f>NA()+1</f>
        <v>#N/A</v>
      </c>
      <c r="C498" s="1">
        <f t="shared" si="1"/>
        <v>16</v>
      </c>
      <c r="D498" s="1">
        <f t="shared" si="2"/>
        <v>7</v>
      </c>
      <c r="E498" s="1" t="str">
        <f t="shared" si="3"/>
        <v>#N/A</v>
      </c>
    </row>
    <row r="499" ht="15.75" customHeight="1">
      <c r="A499" s="3" t="s">
        <v>532</v>
      </c>
      <c r="B499" s="3">
        <f>IFNA(NA(),0)</f>
        <v>0</v>
      </c>
      <c r="C499" s="3">
        <f t="shared" si="1"/>
        <v>1</v>
      </c>
      <c r="D499" s="3" t="str">
        <f t="shared" si="2"/>
        <v/>
      </c>
      <c r="E499" s="3">
        <f t="shared" si="3"/>
        <v>1</v>
      </c>
    </row>
    <row r="500" ht="15.75" customHeight="1">
      <c r="A500" s="1" t="s">
        <v>533</v>
      </c>
      <c r="B500" s="1">
        <f>N(TRUE)</f>
        <v>1</v>
      </c>
      <c r="C500" s="1">
        <f t="shared" si="1"/>
        <v>1</v>
      </c>
      <c r="D500" s="1" t="str">
        <f t="shared" si="2"/>
        <v/>
      </c>
      <c r="E500" s="1">
        <f t="shared" si="3"/>
        <v>1</v>
      </c>
    </row>
    <row r="501" ht="15.75" customHeight="1">
      <c r="A501" s="3" t="s">
        <v>534</v>
      </c>
      <c r="B501" s="3">
        <f>N("5")</f>
        <v>0</v>
      </c>
      <c r="C501" s="3">
        <f t="shared" si="1"/>
        <v>1</v>
      </c>
      <c r="D501" s="3" t="str">
        <f t="shared" si="2"/>
        <v/>
      </c>
      <c r="E501" s="3">
        <f t="shared" si="3"/>
        <v>1</v>
      </c>
    </row>
    <row r="502" ht="15.75" customHeight="1">
      <c r="A502" s="1" t="s">
        <v>535</v>
      </c>
      <c r="B502" s="1">
        <f>N(7)</f>
        <v>7</v>
      </c>
      <c r="C502" s="1">
        <f t="shared" si="1"/>
        <v>1</v>
      </c>
      <c r="D502" s="1" t="str">
        <f t="shared" si="2"/>
        <v/>
      </c>
      <c r="E502" s="1">
        <f t="shared" si="3"/>
        <v>1</v>
      </c>
    </row>
    <row r="503" ht="15.75" customHeight="1">
      <c r="A503" s="3" t="s">
        <v>536</v>
      </c>
      <c r="B503" s="3">
        <f>N(Inputs!O1)</f>
        <v>0</v>
      </c>
      <c r="C503" s="3">
        <f t="shared" si="1"/>
        <v>1</v>
      </c>
      <c r="D503" s="3" t="str">
        <f t="shared" si="2"/>
        <v/>
      </c>
      <c r="E503" s="3">
        <f t="shared" si="3"/>
        <v>1</v>
      </c>
    </row>
    <row r="504" ht="15.75" customHeight="1">
      <c r="A504" s="1" t="s">
        <v>537</v>
      </c>
      <c r="B504" s="1">
        <f>TYPE(1)</f>
        <v>1</v>
      </c>
      <c r="C504" s="1">
        <f t="shared" si="1"/>
        <v>1</v>
      </c>
      <c r="D504" s="1" t="str">
        <f t="shared" si="2"/>
        <v/>
      </c>
      <c r="E504" s="1">
        <f t="shared" si="3"/>
        <v>1</v>
      </c>
    </row>
    <row r="505" ht="15.75" customHeight="1">
      <c r="A505" s="3" t="s">
        <v>538</v>
      </c>
      <c r="B505" s="3">
        <f>TYPE("a")</f>
        <v>2</v>
      </c>
      <c r="C505" s="3">
        <f t="shared" si="1"/>
        <v>1</v>
      </c>
      <c r="D505" s="3" t="str">
        <f t="shared" si="2"/>
        <v/>
      </c>
      <c r="E505" s="3">
        <f t="shared" si="3"/>
        <v>1</v>
      </c>
    </row>
    <row r="506" ht="15.75" customHeight="1">
      <c r="A506" s="1" t="s">
        <v>539</v>
      </c>
      <c r="B506" s="1">
        <f>TYPE(TRUE)</f>
        <v>4</v>
      </c>
      <c r="C506" s="1">
        <f t="shared" si="1"/>
        <v>1</v>
      </c>
      <c r="D506" s="1" t="str">
        <f t="shared" si="2"/>
        <v/>
      </c>
      <c r="E506" s="1">
        <f t="shared" si="3"/>
        <v>1</v>
      </c>
    </row>
    <row r="507" ht="15.75" customHeight="1">
      <c r="A507" s="3" t="s">
        <v>540</v>
      </c>
      <c r="B507" s="3">
        <f>TYPE(1/0)</f>
        <v>16</v>
      </c>
      <c r="C507" s="3">
        <f t="shared" si="1"/>
        <v>1</v>
      </c>
      <c r="D507" s="3" t="str">
        <f t="shared" si="2"/>
        <v/>
      </c>
      <c r="E507" s="3">
        <f t="shared" si="3"/>
        <v>2</v>
      </c>
    </row>
    <row r="508" ht="15.75" customHeight="1">
      <c r="A508" s="1" t="s">
        <v>541</v>
      </c>
      <c r="B508" s="1">
        <f t="array" ref="B508">TYPE({1,2})</f>
        <v>64</v>
      </c>
      <c r="C508" s="1">
        <f t="shared" si="1"/>
        <v>1</v>
      </c>
      <c r="D508" s="1" t="str">
        <f t="shared" si="2"/>
        <v/>
      </c>
      <c r="E508" s="1">
        <f t="shared" si="3"/>
        <v>2</v>
      </c>
    </row>
    <row r="509" ht="15.75" customHeight="1">
      <c r="A509" s="3" t="s">
        <v>542</v>
      </c>
      <c r="B509" s="3">
        <f>_xlfn.ERROR.TYPE(1/0)</f>
        <v>2</v>
      </c>
      <c r="C509" s="3">
        <f t="shared" si="1"/>
        <v>1</v>
      </c>
      <c r="D509" s="3" t="str">
        <f t="shared" si="2"/>
        <v/>
      </c>
      <c r="E509" s="3">
        <f t="shared" si="3"/>
        <v>1</v>
      </c>
    </row>
    <row r="510" ht="15.75" customHeight="1">
      <c r="A510" s="1" t="s">
        <v>543</v>
      </c>
      <c r="B510" s="1">
        <f>_xlfn.ERROR.TYPE(NA())</f>
        <v>7</v>
      </c>
      <c r="C510" s="1">
        <f t="shared" si="1"/>
        <v>1</v>
      </c>
      <c r="D510" s="1" t="str">
        <f t="shared" si="2"/>
        <v/>
      </c>
      <c r="E510" s="1">
        <f t="shared" si="3"/>
        <v>1</v>
      </c>
    </row>
    <row r="511" ht="15.75" customHeight="1">
      <c r="A511" s="3" t="s">
        <v>544</v>
      </c>
      <c r="B511" s="3" t="str">
        <f>_xlfn.ERROR.TYPE(1)</f>
        <v>#N/A</v>
      </c>
      <c r="C511" s="3">
        <f t="shared" si="1"/>
        <v>16</v>
      </c>
      <c r="D511" s="3">
        <f t="shared" si="2"/>
        <v>7</v>
      </c>
      <c r="E511" s="3" t="str">
        <f t="shared" si="3"/>
        <v>#N/A</v>
      </c>
    </row>
    <row r="512" ht="15.75" customHeight="1">
      <c r="A512" s="1" t="s">
        <v>545</v>
      </c>
      <c r="B512" s="1">
        <f>_xlfn.ERROR.TYPE(SQRT(-1))</f>
        <v>6</v>
      </c>
      <c r="C512" s="1">
        <f t="shared" si="1"/>
        <v>1</v>
      </c>
      <c r="D512" s="1" t="str">
        <f t="shared" si="2"/>
        <v/>
      </c>
      <c r="E512" s="1">
        <f t="shared" si="3"/>
        <v>1</v>
      </c>
    </row>
    <row r="513" ht="15.75" customHeight="1">
      <c r="A513" s="3" t="s">
        <v>546</v>
      </c>
      <c r="B513" s="3">
        <f>_xlfn.ERROR.TYPE(#REF!)</f>
        <v>4</v>
      </c>
      <c r="C513" s="3">
        <f t="shared" si="1"/>
        <v>1</v>
      </c>
      <c r="D513" s="3" t="str">
        <f t="shared" si="2"/>
        <v/>
      </c>
      <c r="E513" s="3">
        <f t="shared" si="3"/>
        <v>1</v>
      </c>
    </row>
    <row r="514" ht="15.75" customHeight="1">
      <c r="A514" s="1" t="s">
        <v>547</v>
      </c>
      <c r="B514" s="1">
        <f>_xlfn.ERROR.TYPE(#VALUE!)</f>
        <v>3</v>
      </c>
      <c r="C514" s="1">
        <f t="shared" si="1"/>
        <v>1</v>
      </c>
      <c r="D514" s="1" t="str">
        <f t="shared" si="2"/>
        <v/>
      </c>
      <c r="E514" s="1">
        <f t="shared" si="3"/>
        <v>1</v>
      </c>
    </row>
    <row r="515" ht="15.75" customHeight="1">
      <c r="A515" s="3" t="s">
        <v>548</v>
      </c>
      <c r="B515" s="3">
        <f>_xlfn.ERROR.TYPE(#NAME?)</f>
        <v>5</v>
      </c>
      <c r="C515" s="3">
        <f t="shared" si="1"/>
        <v>1</v>
      </c>
      <c r="D515" s="3" t="str">
        <f t="shared" si="2"/>
        <v/>
      </c>
      <c r="E515" s="3">
        <f t="shared" si="3"/>
        <v>1</v>
      </c>
    </row>
    <row r="516" ht="15.75" customHeight="1">
      <c r="A516" s="1" t="s">
        <v>549</v>
      </c>
      <c r="B516" s="1" t="str">
        <f>CONCATENATE("a","b",1)</f>
        <v>ab1</v>
      </c>
      <c r="C516" s="1">
        <f t="shared" si="1"/>
        <v>2</v>
      </c>
      <c r="D516" s="1" t="str">
        <f t="shared" si="2"/>
        <v/>
      </c>
      <c r="E516" s="1">
        <f t="shared" si="3"/>
        <v>3</v>
      </c>
    </row>
    <row r="517" ht="15.75" customHeight="1">
      <c r="A517" s="3" t="s">
        <v>550</v>
      </c>
      <c r="B517" s="3" t="str">
        <f>CONCATENATE(Inputs!G1:G2)</f>
        <v>appleBanana</v>
      </c>
      <c r="C517" s="3">
        <f t="shared" si="1"/>
        <v>2</v>
      </c>
      <c r="D517" s="3" t="str">
        <f t="shared" si="2"/>
        <v/>
      </c>
      <c r="E517" s="3">
        <f t="shared" si="3"/>
        <v>11</v>
      </c>
    </row>
    <row r="518" ht="15.75" customHeight="1">
      <c r="A518" s="1" t="s">
        <v>551</v>
      </c>
      <c r="B518" s="1" t="str">
        <f>CONCATENATE(TRUE,1/3)</f>
        <v>TRUE0.333333333333333</v>
      </c>
      <c r="C518" s="1">
        <f t="shared" si="1"/>
        <v>2</v>
      </c>
      <c r="D518" s="1" t="str">
        <f t="shared" si="2"/>
        <v/>
      </c>
      <c r="E518" s="1">
        <f t="shared" si="3"/>
        <v>21</v>
      </c>
    </row>
    <row r="519" ht="15.75" customHeight="1">
      <c r="A519" s="3" t="s">
        <v>552</v>
      </c>
      <c r="B519" s="3" t="str">
        <f>TEXTJOIN(",",TRUE,"a","","b")</f>
        <v>a,b</v>
      </c>
      <c r="C519" s="3">
        <f t="shared" si="1"/>
        <v>2</v>
      </c>
      <c r="D519" s="3" t="str">
        <f t="shared" si="2"/>
        <v/>
      </c>
      <c r="E519" s="3">
        <f t="shared" si="3"/>
        <v>3</v>
      </c>
    </row>
    <row r="520" ht="15.75" customHeight="1">
      <c r="A520" s="1" t="s">
        <v>553</v>
      </c>
      <c r="B520" s="1" t="str">
        <f>TEXTJOIN(",",FALSE,"a","","b")</f>
        <v>a,,b</v>
      </c>
      <c r="C520" s="1">
        <f t="shared" si="1"/>
        <v>2</v>
      </c>
      <c r="D520" s="1" t="str">
        <f t="shared" si="2"/>
        <v/>
      </c>
      <c r="E520" s="1">
        <f t="shared" si="3"/>
        <v>4</v>
      </c>
    </row>
    <row r="521" ht="15.75" customHeight="1">
      <c r="A521" s="3" t="s">
        <v>554</v>
      </c>
      <c r="B521" s="3" t="str">
        <f>TEXTJOIN("-",TRUE,Inputs!A1:A6)</f>
        <v>10-20-TRUE-abc-5</v>
      </c>
      <c r="C521" s="3">
        <f t="shared" si="1"/>
        <v>2</v>
      </c>
      <c r="D521" s="3" t="str">
        <f t="shared" si="2"/>
        <v/>
      </c>
      <c r="E521" s="3">
        <f t="shared" si="3"/>
        <v>16</v>
      </c>
    </row>
    <row r="522" ht="15.75" customHeight="1">
      <c r="A522" s="1" t="s">
        <v>555</v>
      </c>
      <c r="B522" s="1" t="str">
        <f>TEXTJOIN(", ",TRUE,Inputs!G1:G4)</f>
        <v>apple, Banana, cherry, apple</v>
      </c>
      <c r="C522" s="1">
        <f t="shared" si="1"/>
        <v>2</v>
      </c>
      <c r="D522" s="1" t="str">
        <f t="shared" si="2"/>
        <v/>
      </c>
      <c r="E522" s="1">
        <f t="shared" si="3"/>
        <v>28</v>
      </c>
    </row>
    <row r="523" ht="15.75" customHeight="1">
      <c r="A523" s="3" t="s">
        <v>556</v>
      </c>
      <c r="B523" s="3">
        <f>LEN("abc")</f>
        <v>3</v>
      </c>
      <c r="C523" s="3">
        <f t="shared" si="1"/>
        <v>1</v>
      </c>
      <c r="D523" s="3" t="str">
        <f t="shared" si="2"/>
        <v/>
      </c>
      <c r="E523" s="3">
        <f t="shared" si="3"/>
        <v>1</v>
      </c>
    </row>
    <row r="524" ht="15.75" customHeight="1">
      <c r="A524" s="1" t="s">
        <v>557</v>
      </c>
      <c r="B524" s="1">
        <f>LEN("")</f>
        <v>0</v>
      </c>
      <c r="C524" s="1">
        <f t="shared" si="1"/>
        <v>1</v>
      </c>
      <c r="D524" s="1" t="str">
        <f t="shared" si="2"/>
        <v/>
      </c>
      <c r="E524" s="1">
        <f t="shared" si="3"/>
        <v>1</v>
      </c>
    </row>
    <row r="525" ht="15.75" customHeight="1">
      <c r="A525" s="3" t="s">
        <v>558</v>
      </c>
      <c r="B525" s="3">
        <f>LEN("é")</f>
        <v>1</v>
      </c>
      <c r="C525" s="3">
        <f t="shared" si="1"/>
        <v>1</v>
      </c>
      <c r="D525" s="3" t="str">
        <f t="shared" si="2"/>
        <v/>
      </c>
      <c r="E525" s="3">
        <f t="shared" si="3"/>
        <v>1</v>
      </c>
    </row>
    <row r="526" ht="15.75" customHeight="1">
      <c r="A526" s="1" t="s">
        <v>559</v>
      </c>
      <c r="B526" s="1">
        <f>LEN("😀")</f>
        <v>2</v>
      </c>
      <c r="C526" s="1">
        <f t="shared" si="1"/>
        <v>1</v>
      </c>
      <c r="D526" s="1" t="str">
        <f t="shared" si="2"/>
        <v/>
      </c>
      <c r="E526" s="1">
        <f t="shared" si="3"/>
        <v>1</v>
      </c>
    </row>
    <row r="527" ht="15.75" customHeight="1">
      <c r="A527" s="3" t="s">
        <v>560</v>
      </c>
      <c r="B527" s="3">
        <f>LEN(12.5)</f>
        <v>4</v>
      </c>
      <c r="C527" s="3">
        <f t="shared" si="1"/>
        <v>1</v>
      </c>
      <c r="D527" s="3" t="str">
        <f t="shared" si="2"/>
        <v/>
      </c>
      <c r="E527" s="3">
        <f t="shared" si="3"/>
        <v>1</v>
      </c>
    </row>
    <row r="528" ht="15.75" customHeight="1">
      <c r="A528" s="1" t="s">
        <v>561</v>
      </c>
      <c r="B528" s="1" t="str">
        <f>LEN(REPT("a",50001))</f>
        <v>#VALUE!</v>
      </c>
      <c r="C528" s="1">
        <f t="shared" si="1"/>
        <v>16</v>
      </c>
      <c r="D528" s="1">
        <f t="shared" si="2"/>
        <v>3</v>
      </c>
      <c r="E528" s="1" t="str">
        <f t="shared" si="3"/>
        <v>#VALUE!</v>
      </c>
    </row>
    <row r="529" ht="15.75" customHeight="1">
      <c r="A529" s="3" t="s">
        <v>562</v>
      </c>
      <c r="B529" s="3" t="str">
        <f>LEFT("abcdef",2)</f>
        <v>ab</v>
      </c>
      <c r="C529" s="3">
        <f t="shared" si="1"/>
        <v>2</v>
      </c>
      <c r="D529" s="3" t="str">
        <f t="shared" si="2"/>
        <v/>
      </c>
      <c r="E529" s="3">
        <f t="shared" si="3"/>
        <v>2</v>
      </c>
    </row>
    <row r="530" ht="15.75" customHeight="1">
      <c r="A530" s="1" t="s">
        <v>563</v>
      </c>
      <c r="B530" s="1" t="str">
        <f>LEFT("abc")</f>
        <v>a</v>
      </c>
      <c r="C530" s="1">
        <f t="shared" si="1"/>
        <v>2</v>
      </c>
      <c r="D530" s="1" t="str">
        <f t="shared" si="2"/>
        <v/>
      </c>
      <c r="E530" s="1">
        <f t="shared" si="3"/>
        <v>1</v>
      </c>
    </row>
    <row r="531" ht="15.75" customHeight="1">
      <c r="A531" s="3" t="s">
        <v>564</v>
      </c>
      <c r="B531" s="3" t="str">
        <f>LEFT("abc",10)</f>
        <v>abc</v>
      </c>
      <c r="C531" s="3">
        <f t="shared" si="1"/>
        <v>2</v>
      </c>
      <c r="D531" s="3" t="str">
        <f t="shared" si="2"/>
        <v/>
      </c>
      <c r="E531" s="3">
        <f t="shared" si="3"/>
        <v>3</v>
      </c>
    </row>
    <row r="532" ht="15.75" customHeight="1">
      <c r="A532" s="1" t="s">
        <v>565</v>
      </c>
      <c r="B532" s="1" t="str">
        <f>LEFT("abc",-1)</f>
        <v>#VALUE!</v>
      </c>
      <c r="C532" s="1">
        <f t="shared" si="1"/>
        <v>16</v>
      </c>
      <c r="D532" s="1">
        <f t="shared" si="2"/>
        <v>3</v>
      </c>
      <c r="E532" s="1" t="str">
        <f t="shared" si="3"/>
        <v>#VALUE!</v>
      </c>
    </row>
    <row r="533" ht="15.75" customHeight="1">
      <c r="A533" s="3" t="s">
        <v>566</v>
      </c>
      <c r="B533" s="3">
        <f>LEN(LEFT("😀x",1))</f>
        <v>1</v>
      </c>
      <c r="C533" s="3">
        <f t="shared" si="1"/>
        <v>1</v>
      </c>
      <c r="D533" s="3" t="str">
        <f t="shared" si="2"/>
        <v/>
      </c>
      <c r="E533" s="3">
        <f t="shared" si="3"/>
        <v>1</v>
      </c>
    </row>
    <row r="534" ht="15.75" customHeight="1">
      <c r="A534" s="1" t="s">
        <v>567</v>
      </c>
      <c r="B534" s="1" t="str">
        <f>RIGHT("abcdef",2)</f>
        <v>ef</v>
      </c>
      <c r="C534" s="1">
        <f t="shared" si="1"/>
        <v>2</v>
      </c>
      <c r="D534" s="1" t="str">
        <f t="shared" si="2"/>
        <v/>
      </c>
      <c r="E534" s="1">
        <f t="shared" si="3"/>
        <v>2</v>
      </c>
    </row>
    <row r="535" ht="15.75" customHeight="1">
      <c r="A535" s="3" t="s">
        <v>568</v>
      </c>
      <c r="B535" s="3" t="str">
        <f>RIGHT("abc")</f>
        <v>c</v>
      </c>
      <c r="C535" s="3">
        <f t="shared" si="1"/>
        <v>2</v>
      </c>
      <c r="D535" s="3" t="str">
        <f t="shared" si="2"/>
        <v/>
      </c>
      <c r="E535" s="3">
        <f t="shared" si="3"/>
        <v>1</v>
      </c>
    </row>
    <row r="536" ht="15.75" customHeight="1">
      <c r="A536" s="1" t="s">
        <v>569</v>
      </c>
      <c r="B536" s="1" t="str">
        <f>RIGHT(12345,2)</f>
        <v>45</v>
      </c>
      <c r="C536" s="1">
        <f t="shared" si="1"/>
        <v>2</v>
      </c>
      <c r="D536" s="1" t="str">
        <f t="shared" si="2"/>
        <v/>
      </c>
      <c r="E536" s="1">
        <f t="shared" si="3"/>
        <v>2</v>
      </c>
    </row>
    <row r="537" ht="15.75" customHeight="1">
      <c r="A537" s="3" t="s">
        <v>570</v>
      </c>
      <c r="B537" s="3" t="str">
        <f>MID("abcdef",2,3)</f>
        <v>bcd</v>
      </c>
      <c r="C537" s="3">
        <f t="shared" si="1"/>
        <v>2</v>
      </c>
      <c r="D537" s="3" t="str">
        <f t="shared" si="2"/>
        <v/>
      </c>
      <c r="E537" s="3">
        <f t="shared" si="3"/>
        <v>3</v>
      </c>
    </row>
    <row r="538" ht="15.75" customHeight="1">
      <c r="A538" s="1" t="s">
        <v>571</v>
      </c>
      <c r="B538" s="1" t="str">
        <f>MID("abc",5,1)</f>
        <v/>
      </c>
      <c r="C538" s="1">
        <f t="shared" si="1"/>
        <v>2</v>
      </c>
      <c r="D538" s="1" t="str">
        <f t="shared" si="2"/>
        <v/>
      </c>
      <c r="E538" s="1">
        <f t="shared" si="3"/>
        <v>0</v>
      </c>
    </row>
    <row r="539" ht="15.75" customHeight="1">
      <c r="A539" s="3" t="s">
        <v>572</v>
      </c>
      <c r="B539" s="3" t="str">
        <f>MID("abc",0,1)</f>
        <v>#NUM!</v>
      </c>
      <c r="C539" s="3">
        <f t="shared" si="1"/>
        <v>16</v>
      </c>
      <c r="D539" s="3">
        <f t="shared" si="2"/>
        <v>6</v>
      </c>
      <c r="E539" s="3" t="str">
        <f t="shared" si="3"/>
        <v>#NUM!</v>
      </c>
    </row>
    <row r="540" ht="15.75" customHeight="1">
      <c r="A540" s="1" t="s">
        <v>573</v>
      </c>
      <c r="B540" s="1" t="str">
        <f>MID("abc",2,100)</f>
        <v>bc</v>
      </c>
      <c r="C540" s="1">
        <f t="shared" si="1"/>
        <v>2</v>
      </c>
      <c r="D540" s="1" t="str">
        <f t="shared" si="2"/>
        <v/>
      </c>
      <c r="E540" s="1">
        <f t="shared" si="3"/>
        <v>2</v>
      </c>
    </row>
    <row r="541" ht="15.75" customHeight="1">
      <c r="A541" s="3" t="s">
        <v>574</v>
      </c>
      <c r="B541" s="3" t="str">
        <f>MID("a😀b",3,1)</f>
        <v>?</v>
      </c>
      <c r="C541" s="3">
        <f t="shared" si="1"/>
        <v>2</v>
      </c>
      <c r="D541" s="3" t="str">
        <f t="shared" si="2"/>
        <v/>
      </c>
      <c r="E541" s="3">
        <f t="shared" si="3"/>
        <v>1</v>
      </c>
    </row>
    <row r="542" ht="15.75" customHeight="1">
      <c r="A542" s="1" t="s">
        <v>575</v>
      </c>
      <c r="B542" s="1" t="str">
        <f>UPPER("abc")</f>
        <v>ABC</v>
      </c>
      <c r="C542" s="1">
        <f t="shared" si="1"/>
        <v>2</v>
      </c>
      <c r="D542" s="1" t="str">
        <f t="shared" si="2"/>
        <v/>
      </c>
      <c r="E542" s="1">
        <f t="shared" si="3"/>
        <v>3</v>
      </c>
    </row>
    <row r="543" ht="15.75" customHeight="1">
      <c r="A543" s="3" t="s">
        <v>576</v>
      </c>
      <c r="B543" s="3" t="str">
        <f>UPPER("straße")</f>
        <v>STRASSE</v>
      </c>
      <c r="C543" s="3">
        <f t="shared" si="1"/>
        <v>2</v>
      </c>
      <c r="D543" s="3" t="str">
        <f t="shared" si="2"/>
        <v/>
      </c>
      <c r="E543" s="3">
        <f t="shared" si="3"/>
        <v>7</v>
      </c>
    </row>
    <row r="544" ht="15.75" customHeight="1">
      <c r="A544" s="1" t="s">
        <v>577</v>
      </c>
      <c r="B544" s="1" t="str">
        <f>UPPER(1)</f>
        <v>1</v>
      </c>
      <c r="C544" s="1">
        <f t="shared" si="1"/>
        <v>2</v>
      </c>
      <c r="D544" s="1" t="str">
        <f t="shared" si="2"/>
        <v/>
      </c>
      <c r="E544" s="1">
        <f t="shared" si="3"/>
        <v>1</v>
      </c>
    </row>
    <row r="545" ht="15.75" customHeight="1">
      <c r="A545" s="3" t="s">
        <v>578</v>
      </c>
      <c r="B545" s="3" t="str">
        <f>LOWER("ABC")</f>
        <v>abc</v>
      </c>
      <c r="C545" s="3">
        <f t="shared" si="1"/>
        <v>2</v>
      </c>
      <c r="D545" s="3" t="str">
        <f t="shared" si="2"/>
        <v/>
      </c>
      <c r="E545" s="3">
        <f t="shared" si="3"/>
        <v>3</v>
      </c>
    </row>
    <row r="546" ht="15.75" customHeight="1">
      <c r="A546" s="1" t="s">
        <v>579</v>
      </c>
      <c r="B546" s="1" t="str">
        <f>LOWER("ÀÉÎ")</f>
        <v>àéî</v>
      </c>
      <c r="C546" s="1">
        <f t="shared" si="1"/>
        <v>2</v>
      </c>
      <c r="D546" s="1" t="str">
        <f t="shared" si="2"/>
        <v/>
      </c>
      <c r="E546" s="1">
        <f t="shared" si="3"/>
        <v>3</v>
      </c>
    </row>
    <row r="547" ht="15.75" customHeight="1">
      <c r="A547" s="3" t="s">
        <v>580</v>
      </c>
      <c r="B547" s="3" t="str">
        <f>LOWER(TRUE)</f>
        <v>true</v>
      </c>
      <c r="C547" s="3">
        <f t="shared" si="1"/>
        <v>2</v>
      </c>
      <c r="D547" s="3" t="str">
        <f t="shared" si="2"/>
        <v/>
      </c>
      <c r="E547" s="3">
        <f t="shared" si="3"/>
        <v>4</v>
      </c>
    </row>
    <row r="548" ht="15.75" customHeight="1">
      <c r="A548" s="1" t="s">
        <v>581</v>
      </c>
      <c r="B548" s="1" t="str">
        <f>PROPER("hello world")</f>
        <v>Hello World</v>
      </c>
      <c r="C548" s="1">
        <f t="shared" si="1"/>
        <v>2</v>
      </c>
      <c r="D548" s="1" t="str">
        <f t="shared" si="2"/>
        <v/>
      </c>
      <c r="E548" s="1">
        <f t="shared" si="3"/>
        <v>11</v>
      </c>
    </row>
    <row r="549" ht="15.75" customHeight="1">
      <c r="A549" s="3" t="s">
        <v>582</v>
      </c>
      <c r="B549" s="3" t="str">
        <f>PROPER("o'neil mc-donald")</f>
        <v>O'Neil Mc-Donald</v>
      </c>
      <c r="C549" s="3">
        <f t="shared" si="1"/>
        <v>2</v>
      </c>
      <c r="D549" s="3" t="str">
        <f t="shared" si="2"/>
        <v/>
      </c>
      <c r="E549" s="3">
        <f t="shared" si="3"/>
        <v>16</v>
      </c>
    </row>
    <row r="550" ht="15.75" customHeight="1">
      <c r="A550" s="1" t="s">
        <v>583</v>
      </c>
      <c r="B550" s="1" t="str">
        <f>PROPER("ABC def2ghi")</f>
        <v>Abc Def2Ghi</v>
      </c>
      <c r="C550" s="1">
        <f t="shared" si="1"/>
        <v>2</v>
      </c>
      <c r="D550" s="1" t="str">
        <f t="shared" si="2"/>
        <v/>
      </c>
      <c r="E550" s="1">
        <f t="shared" si="3"/>
        <v>11</v>
      </c>
    </row>
    <row r="551" ht="15.75" customHeight="1">
      <c r="A551" s="3" t="s">
        <v>584</v>
      </c>
      <c r="B551" s="3" t="str">
        <f>TRIM("  a   b  ")</f>
        <v>a b</v>
      </c>
      <c r="C551" s="3">
        <f t="shared" si="1"/>
        <v>2</v>
      </c>
      <c r="D551" s="3" t="str">
        <f t="shared" si="2"/>
        <v/>
      </c>
      <c r="E551" s="3">
        <f t="shared" si="3"/>
        <v>3</v>
      </c>
    </row>
    <row r="552" ht="15.75" customHeight="1">
      <c r="A552" s="1" t="s">
        <v>585</v>
      </c>
      <c r="B552" s="1">
        <f>LEN(TRIM(CHAR(9)&amp;"a"))</f>
        <v>1</v>
      </c>
      <c r="C552" s="1">
        <f t="shared" si="1"/>
        <v>1</v>
      </c>
      <c r="D552" s="1" t="str">
        <f t="shared" si="2"/>
        <v/>
      </c>
      <c r="E552" s="1">
        <f t="shared" si="3"/>
        <v>1</v>
      </c>
    </row>
    <row r="553" ht="15.75" customHeight="1">
      <c r="A553" s="3" t="s">
        <v>586</v>
      </c>
      <c r="B553" s="3">
        <f>LEN(TRIM("a"&amp;CHAR(160)&amp;" b"))</f>
        <v>4</v>
      </c>
      <c r="C553" s="3">
        <f t="shared" si="1"/>
        <v>1</v>
      </c>
      <c r="D553" s="3" t="str">
        <f t="shared" si="2"/>
        <v/>
      </c>
      <c r="E553" s="3">
        <f t="shared" si="3"/>
        <v>1</v>
      </c>
    </row>
    <row r="554" ht="15.75" customHeight="1">
      <c r="A554" s="1" t="s">
        <v>587</v>
      </c>
      <c r="B554" s="1" t="str">
        <f>SUBSTITUTE("aaa","a","b")</f>
        <v>bbb</v>
      </c>
      <c r="C554" s="1">
        <f t="shared" si="1"/>
        <v>2</v>
      </c>
      <c r="D554" s="1" t="str">
        <f t="shared" si="2"/>
        <v/>
      </c>
      <c r="E554" s="1">
        <f t="shared" si="3"/>
        <v>3</v>
      </c>
    </row>
    <row r="555" ht="15.75" customHeight="1">
      <c r="A555" s="3" t="s">
        <v>588</v>
      </c>
      <c r="B555" s="3" t="str">
        <f>SUBSTITUTE("aaa","a","b",2)</f>
        <v>aba</v>
      </c>
      <c r="C555" s="3">
        <f t="shared" si="1"/>
        <v>2</v>
      </c>
      <c r="D555" s="3" t="str">
        <f t="shared" si="2"/>
        <v/>
      </c>
      <c r="E555" s="3">
        <f t="shared" si="3"/>
        <v>3</v>
      </c>
    </row>
    <row r="556" ht="15.75" customHeight="1">
      <c r="A556" s="1" t="s">
        <v>589</v>
      </c>
      <c r="B556" s="1" t="str">
        <f>SUBSTITUTE("abc","","x")</f>
        <v>abc</v>
      </c>
      <c r="C556" s="1">
        <f t="shared" si="1"/>
        <v>2</v>
      </c>
      <c r="D556" s="1" t="str">
        <f t="shared" si="2"/>
        <v/>
      </c>
      <c r="E556" s="1">
        <f t="shared" si="3"/>
        <v>3</v>
      </c>
    </row>
    <row r="557" ht="15.75" customHeight="1">
      <c r="A557" s="3" t="s">
        <v>590</v>
      </c>
      <c r="B557" s="3" t="str">
        <f>SUBSTITUTE("aaa","a","b",0)</f>
        <v>bbb</v>
      </c>
      <c r="C557" s="3">
        <f t="shared" si="1"/>
        <v>2</v>
      </c>
      <c r="D557" s="3" t="str">
        <f t="shared" si="2"/>
        <v/>
      </c>
      <c r="E557" s="3">
        <f t="shared" si="3"/>
        <v>3</v>
      </c>
    </row>
    <row r="558" ht="15.75" customHeight="1">
      <c r="A558" s="1" t="s">
        <v>591</v>
      </c>
      <c r="B558" s="1" t="str">
        <f>REPT("ab",3)</f>
        <v>ababab</v>
      </c>
      <c r="C558" s="1">
        <f t="shared" si="1"/>
        <v>2</v>
      </c>
      <c r="D558" s="1" t="str">
        <f t="shared" si="2"/>
        <v/>
      </c>
      <c r="E558" s="1">
        <f t="shared" si="3"/>
        <v>6</v>
      </c>
    </row>
    <row r="559" ht="15.75" customHeight="1">
      <c r="A559" s="3" t="s">
        <v>592</v>
      </c>
      <c r="B559" s="3" t="str">
        <f>REPT("a",0)</f>
        <v/>
      </c>
      <c r="C559" s="3">
        <f t="shared" si="1"/>
        <v>2</v>
      </c>
      <c r="D559" s="3" t="str">
        <f t="shared" si="2"/>
        <v/>
      </c>
      <c r="E559" s="3">
        <f t="shared" si="3"/>
        <v>0</v>
      </c>
    </row>
    <row r="560" ht="15.75" customHeight="1">
      <c r="A560" s="1" t="s">
        <v>593</v>
      </c>
      <c r="B560" s="1" t="str">
        <f>REPT("a",-1)</f>
        <v>#VALUE!</v>
      </c>
      <c r="C560" s="1">
        <f t="shared" si="1"/>
        <v>16</v>
      </c>
      <c r="D560" s="1">
        <f t="shared" si="2"/>
        <v>3</v>
      </c>
      <c r="E560" s="1" t="str">
        <f t="shared" si="3"/>
        <v>#VALUE!</v>
      </c>
    </row>
    <row r="561" ht="15.75" customHeight="1">
      <c r="A561" s="3" t="s">
        <v>594</v>
      </c>
      <c r="B561" s="3" t="str">
        <f>REPT("a",2.9)</f>
        <v>aa</v>
      </c>
      <c r="C561" s="3">
        <f t="shared" si="1"/>
        <v>2</v>
      </c>
      <c r="D561" s="3" t="str">
        <f t="shared" si="2"/>
        <v/>
      </c>
      <c r="E561" s="3">
        <f t="shared" si="3"/>
        <v>2</v>
      </c>
    </row>
    <row r="562" ht="15.75" customHeight="1">
      <c r="A562" s="1" t="s">
        <v>595</v>
      </c>
      <c r="B562" s="1">
        <f>FIND("b","abcb")</f>
        <v>2</v>
      </c>
      <c r="C562" s="1">
        <f t="shared" si="1"/>
        <v>1</v>
      </c>
      <c r="D562" s="1" t="str">
        <f t="shared" si="2"/>
        <v/>
      </c>
      <c r="E562" s="1">
        <f t="shared" si="3"/>
        <v>1</v>
      </c>
    </row>
    <row r="563" ht="15.75" customHeight="1">
      <c r="A563" s="3" t="s">
        <v>596</v>
      </c>
      <c r="B563" s="3" t="str">
        <f>FIND("B","abc")</f>
        <v>#VALUE!</v>
      </c>
      <c r="C563" s="3">
        <f t="shared" si="1"/>
        <v>16</v>
      </c>
      <c r="D563" s="3">
        <f t="shared" si="2"/>
        <v>3</v>
      </c>
      <c r="E563" s="3" t="str">
        <f t="shared" si="3"/>
        <v>#VALUE!</v>
      </c>
    </row>
    <row r="564" ht="15.75" customHeight="1">
      <c r="A564" s="1" t="s">
        <v>597</v>
      </c>
      <c r="B564" s="1">
        <f>FIND("b","abcb",3)</f>
        <v>4</v>
      </c>
      <c r="C564" s="1">
        <f t="shared" si="1"/>
        <v>1</v>
      </c>
      <c r="D564" s="1" t="str">
        <f t="shared" si="2"/>
        <v/>
      </c>
      <c r="E564" s="1">
        <f t="shared" si="3"/>
        <v>1</v>
      </c>
    </row>
    <row r="565" ht="15.75" customHeight="1">
      <c r="A565" s="3" t="s">
        <v>598</v>
      </c>
      <c r="B565" s="3">
        <f>FIND("","abc")</f>
        <v>1</v>
      </c>
      <c r="C565" s="3">
        <f t="shared" si="1"/>
        <v>1</v>
      </c>
      <c r="D565" s="3" t="str">
        <f t="shared" si="2"/>
        <v/>
      </c>
      <c r="E565" s="3">
        <f t="shared" si="3"/>
        <v>1</v>
      </c>
    </row>
    <row r="566" ht="15.75" customHeight="1">
      <c r="A566" s="1" t="s">
        <v>599</v>
      </c>
      <c r="B566" s="1">
        <f>SEARCH("B","abc")</f>
        <v>2</v>
      </c>
      <c r="C566" s="1">
        <f t="shared" si="1"/>
        <v>1</v>
      </c>
      <c r="D566" s="1" t="str">
        <f t="shared" si="2"/>
        <v/>
      </c>
      <c r="E566" s="1">
        <f t="shared" si="3"/>
        <v>1</v>
      </c>
    </row>
    <row r="567" ht="15.75" customHeight="1">
      <c r="A567" s="3" t="s">
        <v>600</v>
      </c>
      <c r="B567" s="3">
        <f>SEARCH("b?","abcb")</f>
        <v>2</v>
      </c>
      <c r="C567" s="3">
        <f t="shared" si="1"/>
        <v>1</v>
      </c>
      <c r="D567" s="3" t="str">
        <f t="shared" si="2"/>
        <v/>
      </c>
      <c r="E567" s="3">
        <f t="shared" si="3"/>
        <v>1</v>
      </c>
    </row>
    <row r="568" ht="15.75" customHeight="1">
      <c r="A568" s="1" t="s">
        <v>601</v>
      </c>
      <c r="B568" s="1">
        <f>SEARCH("~?","a?b")</f>
        <v>2</v>
      </c>
      <c r="C568" s="1">
        <f t="shared" si="1"/>
        <v>1</v>
      </c>
      <c r="D568" s="1" t="str">
        <f t="shared" si="2"/>
        <v/>
      </c>
      <c r="E568" s="1">
        <f t="shared" si="3"/>
        <v>1</v>
      </c>
    </row>
    <row r="569" ht="15.75" customHeight="1">
      <c r="A569" s="3" t="s">
        <v>602</v>
      </c>
      <c r="B569" s="3" t="str">
        <f>SEARCH("z","abc")</f>
        <v>#VALUE!</v>
      </c>
      <c r="C569" s="3">
        <f t="shared" si="1"/>
        <v>16</v>
      </c>
      <c r="D569" s="3">
        <f t="shared" si="2"/>
        <v>3</v>
      </c>
      <c r="E569" s="3" t="str">
        <f t="shared" si="3"/>
        <v>#VALUE!</v>
      </c>
    </row>
    <row r="570" ht="15.75" customHeight="1">
      <c r="A570" s="1" t="s">
        <v>603</v>
      </c>
      <c r="B570" s="1" t="b">
        <f>EXACT("a","A")</f>
        <v>0</v>
      </c>
      <c r="C570" s="1">
        <f t="shared" si="1"/>
        <v>4</v>
      </c>
      <c r="D570" s="1" t="str">
        <f t="shared" si="2"/>
        <v/>
      </c>
      <c r="E570" s="1">
        <f t="shared" si="3"/>
        <v>5</v>
      </c>
    </row>
    <row r="571" ht="15.75" customHeight="1">
      <c r="A571" s="3" t="s">
        <v>604</v>
      </c>
      <c r="B571" s="3" t="b">
        <f>EXACT("a","a")</f>
        <v>1</v>
      </c>
      <c r="C571" s="3">
        <f t="shared" si="1"/>
        <v>4</v>
      </c>
      <c r="D571" s="3" t="str">
        <f t="shared" si="2"/>
        <v/>
      </c>
      <c r="E571" s="3">
        <f t="shared" si="3"/>
        <v>4</v>
      </c>
    </row>
    <row r="572" ht="15.75" customHeight="1">
      <c r="A572" s="1" t="s">
        <v>605</v>
      </c>
      <c r="B572" s="1" t="b">
        <f>EXACT(1,"1")</f>
        <v>1</v>
      </c>
      <c r="C572" s="1">
        <f t="shared" si="1"/>
        <v>4</v>
      </c>
      <c r="D572" s="1" t="str">
        <f t="shared" si="2"/>
        <v/>
      </c>
      <c r="E572" s="1">
        <f t="shared" si="3"/>
        <v>4</v>
      </c>
    </row>
    <row r="573" ht="15.75" customHeight="1">
      <c r="A573" s="3" t="s">
        <v>606</v>
      </c>
      <c r="B573" s="3">
        <f>VALUE("12.5")</f>
        <v>12.5</v>
      </c>
      <c r="C573" s="3">
        <f t="shared" si="1"/>
        <v>1</v>
      </c>
      <c r="D573" s="3" t="str">
        <f t="shared" si="2"/>
        <v/>
      </c>
      <c r="E573" s="3">
        <f t="shared" si="3"/>
        <v>4</v>
      </c>
    </row>
    <row r="574" ht="15.75" customHeight="1">
      <c r="A574" s="1" t="s">
        <v>607</v>
      </c>
      <c r="B574" s="1">
        <f>VALUE("5%")</f>
        <v>0.05</v>
      </c>
      <c r="C574" s="1">
        <f t="shared" si="1"/>
        <v>1</v>
      </c>
      <c r="D574" s="1" t="str">
        <f t="shared" si="2"/>
        <v/>
      </c>
      <c r="E574" s="1">
        <f t="shared" si="3"/>
        <v>4</v>
      </c>
    </row>
    <row r="575" ht="15.75" customHeight="1">
      <c r="A575" s="3" t="s">
        <v>608</v>
      </c>
      <c r="B575" s="3" t="str">
        <f>VALUE("abc")</f>
        <v>#VALUE!</v>
      </c>
      <c r="C575" s="3">
        <f t="shared" si="1"/>
        <v>16</v>
      </c>
      <c r="D575" s="3">
        <f t="shared" si="2"/>
        <v>3</v>
      </c>
      <c r="E575" s="3" t="str">
        <f t="shared" si="3"/>
        <v>#VALUE!</v>
      </c>
    </row>
    <row r="576" ht="15.75" customHeight="1">
      <c r="A576" s="1" t="s">
        <v>609</v>
      </c>
      <c r="B576" s="1">
        <f>VALUE("2026-10-27")</f>
        <v>46322</v>
      </c>
      <c r="C576" s="1">
        <f t="shared" si="1"/>
        <v>1</v>
      </c>
      <c r="D576" s="1" t="str">
        <f t="shared" si="2"/>
        <v/>
      </c>
      <c r="E576" s="1">
        <f t="shared" si="3"/>
        <v>5</v>
      </c>
    </row>
    <row r="577" ht="15.75" customHeight="1">
      <c r="A577" s="3" t="s">
        <v>610</v>
      </c>
      <c r="B577" s="3">
        <f>VALUE(" 12 ")</f>
        <v>12</v>
      </c>
      <c r="C577" s="3">
        <f t="shared" si="1"/>
        <v>1</v>
      </c>
      <c r="D577" s="3" t="str">
        <f t="shared" si="2"/>
        <v/>
      </c>
      <c r="E577" s="3">
        <f t="shared" si="3"/>
        <v>2</v>
      </c>
    </row>
    <row r="578" ht="15.75" customHeight="1">
      <c r="A578" s="1" t="s">
        <v>611</v>
      </c>
      <c r="B578" s="1">
        <f>VALUE("1,234")</f>
        <v>1234</v>
      </c>
      <c r="C578" s="1">
        <f t="shared" si="1"/>
        <v>1</v>
      </c>
      <c r="D578" s="1" t="str">
        <f t="shared" si="2"/>
        <v/>
      </c>
      <c r="E578" s="1">
        <f t="shared" si="3"/>
        <v>4</v>
      </c>
    </row>
    <row r="579" ht="15.75" customHeight="1">
      <c r="A579" s="3" t="s">
        <v>612</v>
      </c>
      <c r="B579" s="3" t="str">
        <f>FIXED(1234.567,1)</f>
        <v>1,234.6</v>
      </c>
      <c r="C579" s="3">
        <f t="shared" si="1"/>
        <v>2</v>
      </c>
      <c r="D579" s="3" t="str">
        <f t="shared" si="2"/>
        <v/>
      </c>
      <c r="E579" s="3">
        <f t="shared" si="3"/>
        <v>7</v>
      </c>
    </row>
    <row r="580" ht="15.75" customHeight="1">
      <c r="A580" s="1" t="s">
        <v>613</v>
      </c>
      <c r="B580" s="1" t="str">
        <f>FIXED(1234.567,1,TRUE)</f>
        <v>1234.6</v>
      </c>
      <c r="C580" s="1">
        <f t="shared" si="1"/>
        <v>2</v>
      </c>
      <c r="D580" s="1" t="str">
        <f t="shared" si="2"/>
        <v/>
      </c>
      <c r="E580" s="1">
        <f t="shared" si="3"/>
        <v>6</v>
      </c>
    </row>
    <row r="581" ht="15.75" customHeight="1">
      <c r="A581" s="3" t="s">
        <v>614</v>
      </c>
      <c r="B581" s="3" t="str">
        <f>FIXED(-1234.5,-2)</f>
        <v>-1,200</v>
      </c>
      <c r="C581" s="3">
        <f t="shared" si="1"/>
        <v>2</v>
      </c>
      <c r="D581" s="3" t="str">
        <f t="shared" si="2"/>
        <v/>
      </c>
      <c r="E581" s="3">
        <f t="shared" si="3"/>
        <v>6</v>
      </c>
    </row>
    <row r="582" ht="15.75" customHeight="1">
      <c r="A582" s="1" t="s">
        <v>615</v>
      </c>
      <c r="B582" s="1" t="str">
        <f>FIXED(2.5,0)</f>
        <v>3</v>
      </c>
      <c r="C582" s="1">
        <f t="shared" si="1"/>
        <v>2</v>
      </c>
      <c r="D582" s="1" t="str">
        <f t="shared" si="2"/>
        <v/>
      </c>
      <c r="E582" s="1">
        <f t="shared" si="3"/>
        <v>1</v>
      </c>
    </row>
    <row r="583" ht="15.75" customHeight="1">
      <c r="A583" s="3" t="s">
        <v>616</v>
      </c>
      <c r="B583" s="3" t="str">
        <f>DOLLAR(1234.567)</f>
        <v>$1,234.57</v>
      </c>
      <c r="C583" s="3">
        <f t="shared" si="1"/>
        <v>2</v>
      </c>
      <c r="D583" s="3" t="str">
        <f t="shared" si="2"/>
        <v/>
      </c>
      <c r="E583" s="3">
        <f t="shared" si="3"/>
        <v>9</v>
      </c>
    </row>
    <row r="584" ht="15.75" customHeight="1">
      <c r="A584" s="1" t="s">
        <v>617</v>
      </c>
      <c r="B584" s="1" t="str">
        <f>DOLLAR(-1234.567,1)</f>
        <v>-$1,234.6</v>
      </c>
      <c r="C584" s="1">
        <f t="shared" si="1"/>
        <v>2</v>
      </c>
      <c r="D584" s="1" t="str">
        <f t="shared" si="2"/>
        <v/>
      </c>
      <c r="E584" s="1">
        <f t="shared" si="3"/>
        <v>9</v>
      </c>
    </row>
    <row r="585" ht="15.75" customHeight="1">
      <c r="A585" s="3" t="s">
        <v>618</v>
      </c>
      <c r="B585" s="3" t="str">
        <f>DOLLAR(0.5,0)</f>
        <v>$1</v>
      </c>
      <c r="C585" s="3">
        <f t="shared" si="1"/>
        <v>2</v>
      </c>
      <c r="D585" s="3" t="str">
        <f t="shared" si="2"/>
        <v/>
      </c>
      <c r="E585" s="3">
        <f t="shared" si="3"/>
        <v>2</v>
      </c>
    </row>
    <row r="586" ht="15.75" customHeight="1">
      <c r="A586" s="1" t="s">
        <v>619</v>
      </c>
      <c r="B586" s="1" t="str">
        <f>TEXT(1234.5,"#,##0.00")</f>
        <v>1,234.50</v>
      </c>
      <c r="C586" s="1">
        <f t="shared" si="1"/>
        <v>2</v>
      </c>
      <c r="D586" s="1" t="str">
        <f t="shared" si="2"/>
        <v/>
      </c>
      <c r="E586" s="1">
        <f t="shared" si="3"/>
        <v>8</v>
      </c>
    </row>
    <row r="587" ht="15.75" customHeight="1">
      <c r="A587" s="3" t="s">
        <v>620</v>
      </c>
      <c r="B587" s="3" t="str">
        <f>TEXT(0.05,"0%")</f>
        <v>5%</v>
      </c>
      <c r="C587" s="3">
        <f t="shared" si="1"/>
        <v>2</v>
      </c>
      <c r="D587" s="3" t="str">
        <f t="shared" si="2"/>
        <v/>
      </c>
      <c r="E587" s="3">
        <f t="shared" si="3"/>
        <v>2</v>
      </c>
    </row>
    <row r="588" ht="15.75" customHeight="1">
      <c r="A588" s="1" t="s">
        <v>621</v>
      </c>
      <c r="B588" s="1" t="str">
        <f>TEXT(0.125,"0.0%")</f>
        <v>12.5%</v>
      </c>
      <c r="C588" s="1">
        <f t="shared" si="1"/>
        <v>2</v>
      </c>
      <c r="D588" s="1" t="str">
        <f t="shared" si="2"/>
        <v/>
      </c>
      <c r="E588" s="1">
        <f t="shared" si="3"/>
        <v>5</v>
      </c>
    </row>
    <row r="589" ht="15.75" customHeight="1">
      <c r="A589" s="3" t="s">
        <v>622</v>
      </c>
      <c r="B589" s="3" t="str">
        <f>TEXT(46322,"yyyy-mm-dd")</f>
        <v>2026-10-27</v>
      </c>
      <c r="C589" s="3">
        <f t="shared" si="1"/>
        <v>2</v>
      </c>
      <c r="D589" s="3" t="str">
        <f t="shared" si="2"/>
        <v/>
      </c>
      <c r="E589" s="3">
        <f t="shared" si="3"/>
        <v>10</v>
      </c>
    </row>
    <row r="590" ht="15.75" customHeight="1">
      <c r="A590" s="1" t="s">
        <v>623</v>
      </c>
      <c r="B590" s="1" t="str">
        <f>TEXT(1234.5,"$#,##0.00")</f>
        <v>$1,234.50</v>
      </c>
      <c r="C590" s="1">
        <f t="shared" si="1"/>
        <v>2</v>
      </c>
      <c r="D590" s="1" t="str">
        <f t="shared" si="2"/>
        <v/>
      </c>
      <c r="E590" s="1">
        <f t="shared" si="3"/>
        <v>9</v>
      </c>
    </row>
    <row r="591" ht="15.75" customHeight="1">
      <c r="A591" s="3" t="s">
        <v>624</v>
      </c>
      <c r="B591" s="3" t="str">
        <f>TEXT(2.5,"0")</f>
        <v>3</v>
      </c>
      <c r="C591" s="3">
        <f t="shared" si="1"/>
        <v>2</v>
      </c>
      <c r="D591" s="3" t="str">
        <f t="shared" si="2"/>
        <v/>
      </c>
      <c r="E591" s="3">
        <f t="shared" si="3"/>
        <v>1</v>
      </c>
    </row>
    <row r="592" ht="15.75" customHeight="1">
      <c r="A592" s="1" t="s">
        <v>625</v>
      </c>
      <c r="B592" s="1" t="str">
        <f>TEXT(-1234.5,"#,##0.00;(#,##0.00)")</f>
        <v>(1,234.50)</v>
      </c>
      <c r="C592" s="1">
        <f t="shared" si="1"/>
        <v>2</v>
      </c>
      <c r="D592" s="1" t="str">
        <f t="shared" si="2"/>
        <v/>
      </c>
      <c r="E592" s="1">
        <f t="shared" si="3"/>
        <v>10</v>
      </c>
    </row>
    <row r="593" ht="15.75" customHeight="1">
      <c r="A593" s="3" t="s">
        <v>626</v>
      </c>
      <c r="B593" s="3" t="str">
        <f>TEXT(46322,"dddd, mmmm d, yyyy")</f>
        <v>Tuesday, October 27, 2026</v>
      </c>
      <c r="C593" s="3">
        <f t="shared" si="1"/>
        <v>2</v>
      </c>
      <c r="D593" s="3" t="str">
        <f t="shared" si="2"/>
        <v/>
      </c>
      <c r="E593" s="3">
        <f t="shared" si="3"/>
        <v>25</v>
      </c>
    </row>
    <row r="594" ht="15.75" customHeight="1">
      <c r="A594" s="1" t="s">
        <v>627</v>
      </c>
      <c r="B594" s="1" t="str">
        <f>TEXT(0.5,"0.00")</f>
        <v>0.50</v>
      </c>
      <c r="C594" s="1">
        <f t="shared" si="1"/>
        <v>2</v>
      </c>
      <c r="D594" s="1" t="str">
        <f t="shared" si="2"/>
        <v/>
      </c>
      <c r="E594" s="1">
        <f t="shared" si="3"/>
        <v>4</v>
      </c>
    </row>
    <row r="595" ht="15.75" customHeight="1">
      <c r="A595" s="3" t="s">
        <v>628</v>
      </c>
      <c r="B595" s="3" t="str">
        <f>TEXT(1.005,"0.00")</f>
        <v>1.01</v>
      </c>
      <c r="C595" s="3">
        <f t="shared" si="1"/>
        <v>2</v>
      </c>
      <c r="D595" s="3" t="str">
        <f t="shared" si="2"/>
        <v/>
      </c>
      <c r="E595" s="3">
        <f t="shared" si="3"/>
        <v>4</v>
      </c>
    </row>
    <row r="596" ht="15.75" customHeight="1">
      <c r="A596" s="1" t="s">
        <v>629</v>
      </c>
      <c r="B596" s="5">
        <f>DATE(2026,13,1)</f>
        <v>46388</v>
      </c>
      <c r="C596" s="1">
        <f t="shared" si="1"/>
        <v>1</v>
      </c>
      <c r="D596" s="1" t="str">
        <f t="shared" si="2"/>
        <v/>
      </c>
      <c r="E596" s="1">
        <f t="shared" si="3"/>
        <v>5</v>
      </c>
    </row>
    <row r="597" ht="15.75" customHeight="1">
      <c r="A597" s="3" t="s">
        <v>630</v>
      </c>
      <c r="B597" s="4">
        <f>DATE(2026,1,0)</f>
        <v>46022</v>
      </c>
      <c r="C597" s="3">
        <f t="shared" si="1"/>
        <v>1</v>
      </c>
      <c r="D597" s="3" t="str">
        <f t="shared" si="2"/>
        <v/>
      </c>
      <c r="E597" s="3">
        <f t="shared" si="3"/>
        <v>5</v>
      </c>
    </row>
    <row r="598" ht="15.75" customHeight="1">
      <c r="A598" s="1" t="s">
        <v>631</v>
      </c>
      <c r="B598" s="5">
        <f>DATE(2026,2,30)</f>
        <v>46083</v>
      </c>
      <c r="C598" s="1">
        <f t="shared" si="1"/>
        <v>1</v>
      </c>
      <c r="D598" s="1" t="str">
        <f t="shared" si="2"/>
        <v/>
      </c>
      <c r="E598" s="1">
        <f t="shared" si="3"/>
        <v>5</v>
      </c>
    </row>
    <row r="599" ht="15.75" customHeight="1">
      <c r="A599" s="3" t="s">
        <v>632</v>
      </c>
      <c r="B599" s="4">
        <f>DATE(2026.9,1,1)</f>
        <v>46023</v>
      </c>
      <c r="C599" s="3">
        <f t="shared" si="1"/>
        <v>1</v>
      </c>
      <c r="D599" s="3" t="str">
        <f t="shared" si="2"/>
        <v/>
      </c>
      <c r="E599" s="3">
        <f t="shared" si="3"/>
        <v>5</v>
      </c>
    </row>
    <row r="600" ht="15.75" customHeight="1">
      <c r="A600" s="1" t="s">
        <v>633</v>
      </c>
      <c r="B600" s="1">
        <f>YEAR(46322)</f>
        <v>2026</v>
      </c>
      <c r="C600" s="1">
        <f t="shared" si="1"/>
        <v>1</v>
      </c>
      <c r="D600" s="1" t="str">
        <f t="shared" si="2"/>
        <v/>
      </c>
      <c r="E600" s="1">
        <f t="shared" si="3"/>
        <v>4</v>
      </c>
    </row>
    <row r="601" ht="15.75" customHeight="1">
      <c r="A601" s="3" t="s">
        <v>634</v>
      </c>
      <c r="B601" s="3">
        <f>YEAR(0)</f>
        <v>1899</v>
      </c>
      <c r="C601" s="3">
        <f t="shared" si="1"/>
        <v>1</v>
      </c>
      <c r="D601" s="3" t="str">
        <f t="shared" si="2"/>
        <v/>
      </c>
      <c r="E601" s="3">
        <f t="shared" si="3"/>
        <v>4</v>
      </c>
    </row>
    <row r="602" ht="15.75" customHeight="1">
      <c r="A602" s="1" t="s">
        <v>635</v>
      </c>
      <c r="B602" s="1">
        <f>YEAR("2026-10-27")</f>
        <v>2026</v>
      </c>
      <c r="C602" s="1">
        <f t="shared" si="1"/>
        <v>1</v>
      </c>
      <c r="D602" s="1" t="str">
        <f t="shared" si="2"/>
        <v/>
      </c>
      <c r="E602" s="1">
        <f t="shared" si="3"/>
        <v>4</v>
      </c>
    </row>
    <row r="603" ht="15.75" customHeight="1">
      <c r="A603" s="3" t="s">
        <v>636</v>
      </c>
      <c r="B603" s="3">
        <f>MONTH(46322)</f>
        <v>10</v>
      </c>
      <c r="C603" s="3">
        <f t="shared" si="1"/>
        <v>1</v>
      </c>
      <c r="D603" s="3" t="str">
        <f t="shared" si="2"/>
        <v/>
      </c>
      <c r="E603" s="3">
        <f t="shared" si="3"/>
        <v>2</v>
      </c>
    </row>
    <row r="604" ht="15.75" customHeight="1">
      <c r="A604" s="1" t="s">
        <v>637</v>
      </c>
      <c r="B604" s="1">
        <f>MONTH(DATE(2024,2,29))</f>
        <v>2</v>
      </c>
      <c r="C604" s="1">
        <f t="shared" si="1"/>
        <v>1</v>
      </c>
      <c r="D604" s="1" t="str">
        <f t="shared" si="2"/>
        <v/>
      </c>
      <c r="E604" s="1">
        <f t="shared" si="3"/>
        <v>1</v>
      </c>
    </row>
    <row r="605" ht="15.75" customHeight="1">
      <c r="A605" s="3" t="s">
        <v>638</v>
      </c>
      <c r="B605" s="3" t="str">
        <f>MONTH("x")</f>
        <v>#VALUE!</v>
      </c>
      <c r="C605" s="3">
        <f t="shared" si="1"/>
        <v>16</v>
      </c>
      <c r="D605" s="3">
        <f t="shared" si="2"/>
        <v>3</v>
      </c>
      <c r="E605" s="3" t="str">
        <f t="shared" si="3"/>
        <v>#VALUE!</v>
      </c>
    </row>
    <row r="606" ht="15.75" customHeight="1">
      <c r="A606" s="1" t="s">
        <v>639</v>
      </c>
      <c r="B606" s="1">
        <f>DAY(46322)</f>
        <v>27</v>
      </c>
      <c r="C606" s="1">
        <f t="shared" si="1"/>
        <v>1</v>
      </c>
      <c r="D606" s="1" t="str">
        <f t="shared" si="2"/>
        <v/>
      </c>
      <c r="E606" s="1">
        <f t="shared" si="3"/>
        <v>2</v>
      </c>
    </row>
    <row r="607" ht="15.75" customHeight="1">
      <c r="A607" s="3" t="s">
        <v>640</v>
      </c>
      <c r="B607" s="3">
        <f>DAY(DATE(2024,3,0))</f>
        <v>29</v>
      </c>
      <c r="C607" s="3">
        <f t="shared" si="1"/>
        <v>1</v>
      </c>
      <c r="D607" s="3" t="str">
        <f t="shared" si="2"/>
        <v/>
      </c>
      <c r="E607" s="3">
        <f t="shared" si="3"/>
        <v>2</v>
      </c>
    </row>
    <row r="608" ht="15.75" customHeight="1">
      <c r="A608" s="1" t="s">
        <v>641</v>
      </c>
      <c r="B608" s="1">
        <f>DAY(46322.99)</f>
        <v>27</v>
      </c>
      <c r="C608" s="1">
        <f t="shared" si="1"/>
        <v>1</v>
      </c>
      <c r="D608" s="1" t="str">
        <f t="shared" si="2"/>
        <v/>
      </c>
      <c r="E608" s="1">
        <f t="shared" si="3"/>
        <v>2</v>
      </c>
    </row>
    <row r="609" ht="15.75" customHeight="1">
      <c r="A609" s="3" t="s">
        <v>642</v>
      </c>
      <c r="B609" s="4">
        <f>EDATE(DATE(2026,1,31),1)</f>
        <v>46081</v>
      </c>
      <c r="C609" s="3">
        <f t="shared" si="1"/>
        <v>1</v>
      </c>
      <c r="D609" s="3" t="str">
        <f t="shared" si="2"/>
        <v/>
      </c>
      <c r="E609" s="3">
        <f t="shared" si="3"/>
        <v>5</v>
      </c>
    </row>
    <row r="610" ht="15.75" customHeight="1">
      <c r="A610" s="1" t="s">
        <v>643</v>
      </c>
      <c r="B610" s="5">
        <f>EDATE(DATE(2024,1,31),1)</f>
        <v>45351</v>
      </c>
      <c r="C610" s="1">
        <f t="shared" si="1"/>
        <v>1</v>
      </c>
      <c r="D610" s="1" t="str">
        <f t="shared" si="2"/>
        <v/>
      </c>
      <c r="E610" s="1">
        <f t="shared" si="3"/>
        <v>5</v>
      </c>
    </row>
    <row r="611" ht="15.75" customHeight="1">
      <c r="A611" s="3" t="s">
        <v>644</v>
      </c>
      <c r="B611" s="4">
        <f>EDATE(DATE(2026,3,31),-1)</f>
        <v>46081</v>
      </c>
      <c r="C611" s="3">
        <f t="shared" si="1"/>
        <v>1</v>
      </c>
      <c r="D611" s="3" t="str">
        <f t="shared" si="2"/>
        <v/>
      </c>
      <c r="E611" s="3">
        <f t="shared" si="3"/>
        <v>5</v>
      </c>
    </row>
    <row r="612" ht="15.75" customHeight="1">
      <c r="A612" s="1" t="s">
        <v>645</v>
      </c>
      <c r="B612" s="5">
        <f>EDATE(DATE(2026,1,15),1.9)</f>
        <v>46068</v>
      </c>
      <c r="C612" s="1">
        <f t="shared" si="1"/>
        <v>1</v>
      </c>
      <c r="D612" s="1" t="str">
        <f t="shared" si="2"/>
        <v/>
      </c>
      <c r="E612" s="1">
        <f t="shared" si="3"/>
        <v>5</v>
      </c>
    </row>
    <row r="613" ht="15.75" customHeight="1">
      <c r="A613" s="3" t="s">
        <v>646</v>
      </c>
      <c r="B613" s="4">
        <f>EOMONTH(DATE(2026,1,15),0)</f>
        <v>46053</v>
      </c>
      <c r="C613" s="3">
        <f t="shared" si="1"/>
        <v>1</v>
      </c>
      <c r="D613" s="3" t="str">
        <f t="shared" si="2"/>
        <v/>
      </c>
      <c r="E613" s="3">
        <f t="shared" si="3"/>
        <v>5</v>
      </c>
    </row>
    <row r="614" ht="15.75" customHeight="1">
      <c r="A614" s="1" t="s">
        <v>647</v>
      </c>
      <c r="B614" s="5">
        <f>EOMONTH(DATE(2026,1,15),1)</f>
        <v>46081</v>
      </c>
      <c r="C614" s="1">
        <f t="shared" si="1"/>
        <v>1</v>
      </c>
      <c r="D614" s="1" t="str">
        <f t="shared" si="2"/>
        <v/>
      </c>
      <c r="E614" s="1">
        <f t="shared" si="3"/>
        <v>5</v>
      </c>
    </row>
    <row r="615" ht="15.75" customHeight="1">
      <c r="A615" s="3" t="s">
        <v>648</v>
      </c>
      <c r="B615" s="4">
        <f>EOMONTH(DATE(2024,1,15),1)</f>
        <v>45351</v>
      </c>
      <c r="C615" s="3">
        <f t="shared" si="1"/>
        <v>1</v>
      </c>
      <c r="D615" s="3" t="str">
        <f t="shared" si="2"/>
        <v/>
      </c>
      <c r="E615" s="3">
        <f t="shared" si="3"/>
        <v>5</v>
      </c>
    </row>
    <row r="616" ht="15.75" customHeight="1">
      <c r="A616" s="1" t="s">
        <v>649</v>
      </c>
      <c r="B616" s="5">
        <f>EOMONTH(DATE(2026,1,15),-13)</f>
        <v>45657</v>
      </c>
      <c r="C616" s="1">
        <f t="shared" si="1"/>
        <v>1</v>
      </c>
      <c r="D616" s="1" t="str">
        <f t="shared" si="2"/>
        <v/>
      </c>
      <c r="E616" s="1">
        <f t="shared" si="3"/>
        <v>5</v>
      </c>
    </row>
    <row r="617" ht="15.75" customHeight="1">
      <c r="A617" s="3" t="s">
        <v>650</v>
      </c>
      <c r="B617" s="3">
        <f>DAYS(DATE(2026,12,25),DATE(2026,10,27))</f>
        <v>59</v>
      </c>
      <c r="C617" s="3">
        <f t="shared" si="1"/>
        <v>1</v>
      </c>
      <c r="D617" s="3" t="str">
        <f t="shared" si="2"/>
        <v/>
      </c>
      <c r="E617" s="3">
        <f t="shared" si="3"/>
        <v>2</v>
      </c>
    </row>
    <row r="618" ht="15.75" customHeight="1">
      <c r="A618" s="1" t="s">
        <v>651</v>
      </c>
      <c r="B618" s="1">
        <f>DAYS("2026-01-02","2026-01-01")</f>
        <v>1</v>
      </c>
      <c r="C618" s="1">
        <f t="shared" si="1"/>
        <v>1</v>
      </c>
      <c r="D618" s="1" t="str">
        <f t="shared" si="2"/>
        <v/>
      </c>
      <c r="E618" s="1">
        <f t="shared" si="3"/>
        <v>1</v>
      </c>
    </row>
    <row r="619" ht="15.75" customHeight="1">
      <c r="A619" s="3" t="s">
        <v>652</v>
      </c>
      <c r="B619" s="3">
        <f>DAYS(DATE(2026,1,1),DATE(2026,12,31))</f>
        <v>-364</v>
      </c>
      <c r="C619" s="3">
        <f t="shared" si="1"/>
        <v>1</v>
      </c>
      <c r="D619" s="3" t="str">
        <f t="shared" si="2"/>
        <v/>
      </c>
      <c r="E619" s="3">
        <f t="shared" si="3"/>
        <v>4</v>
      </c>
    </row>
    <row r="620" ht="15.75" customHeight="1">
      <c r="A620" s="1" t="s">
        <v>653</v>
      </c>
      <c r="B620" s="1">
        <f>DATEDIF(DATE(2020,1,15),DATE(2026,10,27),"Y")</f>
        <v>6</v>
      </c>
      <c r="C620" s="1">
        <f t="shared" si="1"/>
        <v>1</v>
      </c>
      <c r="D620" s="1" t="str">
        <f t="shared" si="2"/>
        <v/>
      </c>
      <c r="E620" s="1">
        <f t="shared" si="3"/>
        <v>1</v>
      </c>
    </row>
    <row r="621" ht="15.75" customHeight="1">
      <c r="A621" s="3" t="s">
        <v>654</v>
      </c>
      <c r="B621" s="3">
        <f>DATEDIF(DATE(2020,1,15),DATE(2026,10,27),"M")</f>
        <v>81</v>
      </c>
      <c r="C621" s="3">
        <f t="shared" si="1"/>
        <v>1</v>
      </c>
      <c r="D621" s="3" t="str">
        <f t="shared" si="2"/>
        <v/>
      </c>
      <c r="E621" s="3">
        <f t="shared" si="3"/>
        <v>2</v>
      </c>
    </row>
    <row r="622" ht="15.75" customHeight="1">
      <c r="A622" s="1" t="s">
        <v>655</v>
      </c>
      <c r="B622" s="1">
        <f>DATEDIF(DATE(2020,1,15),DATE(2026,10,27),"D")</f>
        <v>2477</v>
      </c>
      <c r="C622" s="1">
        <f t="shared" si="1"/>
        <v>1</v>
      </c>
      <c r="D622" s="1" t="str">
        <f t="shared" si="2"/>
        <v/>
      </c>
      <c r="E622" s="1">
        <f t="shared" si="3"/>
        <v>4</v>
      </c>
    </row>
    <row r="623" ht="15.75" customHeight="1">
      <c r="A623" s="3" t="s">
        <v>656</v>
      </c>
      <c r="B623" s="3">
        <f>DATEDIF(DATE(2020,1,31),DATE(2026,3,1),"MD")</f>
        <v>-2</v>
      </c>
      <c r="C623" s="3">
        <f t="shared" si="1"/>
        <v>1</v>
      </c>
      <c r="D623" s="3" t="str">
        <f t="shared" si="2"/>
        <v/>
      </c>
      <c r="E623" s="3">
        <f t="shared" si="3"/>
        <v>2</v>
      </c>
    </row>
    <row r="624" ht="15.75" customHeight="1">
      <c r="A624" s="1" t="s">
        <v>657</v>
      </c>
      <c r="B624" s="1">
        <f>DATEDIF(DATE(2020,1,15),DATE(2026,10,27),"YM")</f>
        <v>9</v>
      </c>
      <c r="C624" s="1">
        <f t="shared" si="1"/>
        <v>1</v>
      </c>
      <c r="D624" s="1" t="str">
        <f t="shared" si="2"/>
        <v/>
      </c>
      <c r="E624" s="1">
        <f t="shared" si="3"/>
        <v>1</v>
      </c>
    </row>
    <row r="625" ht="15.75" customHeight="1">
      <c r="A625" s="3" t="s">
        <v>658</v>
      </c>
      <c r="B625" s="3">
        <f>DATEDIF(DATE(2020,1,15),DATE(2026,10,27),"YD")</f>
        <v>286</v>
      </c>
      <c r="C625" s="3">
        <f t="shared" si="1"/>
        <v>1</v>
      </c>
      <c r="D625" s="3" t="str">
        <f t="shared" si="2"/>
        <v/>
      </c>
      <c r="E625" s="3">
        <f t="shared" si="3"/>
        <v>3</v>
      </c>
    </row>
    <row r="626" ht="15.75" customHeight="1">
      <c r="A626" s="1" t="s">
        <v>659</v>
      </c>
      <c r="B626" s="1" t="str">
        <f>DATEDIF(DATE(2026,1,1),DATE(2025,1,1),"D")</f>
        <v>#NUM!</v>
      </c>
      <c r="C626" s="1">
        <f t="shared" si="1"/>
        <v>16</v>
      </c>
      <c r="D626" s="1">
        <f t="shared" si="2"/>
        <v>6</v>
      </c>
      <c r="E626" s="1" t="str">
        <f t="shared" si="3"/>
        <v>#NUM!</v>
      </c>
    </row>
    <row r="627" ht="15.75" customHeight="1">
      <c r="A627" s="3" t="s">
        <v>660</v>
      </c>
      <c r="B627" s="3">
        <f>DATEVALUE("2026-10-27")</f>
        <v>46322</v>
      </c>
      <c r="C627" s="3">
        <f t="shared" si="1"/>
        <v>1</v>
      </c>
      <c r="D627" s="3" t="str">
        <f t="shared" si="2"/>
        <v/>
      </c>
      <c r="E627" s="3">
        <f t="shared" si="3"/>
        <v>5</v>
      </c>
    </row>
    <row r="628" ht="15.75" customHeight="1">
      <c r="A628" s="1" t="s">
        <v>661</v>
      </c>
      <c r="B628" s="1">
        <f>DATEVALUE("10/27/2026")</f>
        <v>46322</v>
      </c>
      <c r="C628" s="1">
        <f t="shared" si="1"/>
        <v>1</v>
      </c>
      <c r="D628" s="1" t="str">
        <f t="shared" si="2"/>
        <v/>
      </c>
      <c r="E628" s="1">
        <f t="shared" si="3"/>
        <v>5</v>
      </c>
    </row>
    <row r="629" ht="15.75" customHeight="1">
      <c r="A629" s="3" t="s">
        <v>662</v>
      </c>
      <c r="B629" s="3" t="str">
        <f>DATEVALUE("27/10/2026")</f>
        <v>#VALUE!</v>
      </c>
      <c r="C629" s="3">
        <f t="shared" si="1"/>
        <v>16</v>
      </c>
      <c r="D629" s="3">
        <f t="shared" si="2"/>
        <v>3</v>
      </c>
      <c r="E629" s="3" t="str">
        <f t="shared" si="3"/>
        <v>#VALUE!</v>
      </c>
    </row>
    <row r="630" ht="15.75" customHeight="1">
      <c r="A630" s="1" t="s">
        <v>663</v>
      </c>
      <c r="B630" s="1">
        <f>DATEVALUE("Oct 27, 2026")</f>
        <v>46322</v>
      </c>
      <c r="C630" s="1">
        <f t="shared" si="1"/>
        <v>1</v>
      </c>
      <c r="D630" s="1" t="str">
        <f t="shared" si="2"/>
        <v/>
      </c>
      <c r="E630" s="1">
        <f t="shared" si="3"/>
        <v>5</v>
      </c>
    </row>
    <row r="631" ht="15.75" customHeight="1">
      <c r="A631" s="3" t="s">
        <v>664</v>
      </c>
      <c r="B631" s="3">
        <f>WEEKDAY(46322)</f>
        <v>3</v>
      </c>
      <c r="C631" s="3">
        <f t="shared" si="1"/>
        <v>1</v>
      </c>
      <c r="D631" s="3" t="str">
        <f t="shared" si="2"/>
        <v/>
      </c>
      <c r="E631" s="3">
        <f t="shared" si="3"/>
        <v>1</v>
      </c>
    </row>
    <row r="632" ht="15.75" customHeight="1">
      <c r="A632" s="1" t="s">
        <v>665</v>
      </c>
      <c r="B632" s="1">
        <f>WEEKDAY(46322,2)</f>
        <v>2</v>
      </c>
      <c r="C632" s="1">
        <f t="shared" si="1"/>
        <v>1</v>
      </c>
      <c r="D632" s="1" t="str">
        <f t="shared" si="2"/>
        <v/>
      </c>
      <c r="E632" s="1">
        <f t="shared" si="3"/>
        <v>1</v>
      </c>
    </row>
    <row r="633" ht="15.75" customHeight="1">
      <c r="A633" s="3" t="s">
        <v>666</v>
      </c>
      <c r="B633" s="3">
        <f>WEEKDAY(46322,3)</f>
        <v>1</v>
      </c>
      <c r="C633" s="3">
        <f t="shared" si="1"/>
        <v>1</v>
      </c>
      <c r="D633" s="3" t="str">
        <f t="shared" si="2"/>
        <v/>
      </c>
      <c r="E633" s="3">
        <f t="shared" si="3"/>
        <v>1</v>
      </c>
    </row>
    <row r="634" ht="15.75" customHeight="1">
      <c r="A634" s="1" t="s">
        <v>667</v>
      </c>
      <c r="B634" s="1">
        <f>WEEKDAY(46322,11)</f>
        <v>2</v>
      </c>
      <c r="C634" s="1">
        <f t="shared" si="1"/>
        <v>1</v>
      </c>
      <c r="D634" s="1" t="str">
        <f t="shared" si="2"/>
        <v/>
      </c>
      <c r="E634" s="1">
        <f t="shared" si="3"/>
        <v>1</v>
      </c>
    </row>
    <row r="635" ht="15.75" customHeight="1">
      <c r="A635" s="3" t="s">
        <v>668</v>
      </c>
      <c r="B635" s="3">
        <f>NETWORKDAYS(DATE(2026,10,1),DATE(2026,10,31))</f>
        <v>22</v>
      </c>
      <c r="C635" s="3">
        <f t="shared" si="1"/>
        <v>1</v>
      </c>
      <c r="D635" s="3" t="str">
        <f t="shared" si="2"/>
        <v/>
      </c>
      <c r="E635" s="3">
        <f t="shared" si="3"/>
        <v>2</v>
      </c>
    </row>
    <row r="636" ht="15.75" customHeight="1">
      <c r="A636" s="1" t="s">
        <v>669</v>
      </c>
      <c r="B636" s="1">
        <f>NETWORKDAYS(DATE(2026,10,1),DATE(2026,10,31),Inputs!I1:I2)</f>
        <v>21</v>
      </c>
      <c r="C636" s="1">
        <f t="shared" si="1"/>
        <v>1</v>
      </c>
      <c r="D636" s="1" t="str">
        <f t="shared" si="2"/>
        <v/>
      </c>
      <c r="E636" s="1">
        <f t="shared" si="3"/>
        <v>2</v>
      </c>
    </row>
    <row r="637" ht="15.75" customHeight="1">
      <c r="A637" s="3" t="s">
        <v>670</v>
      </c>
      <c r="B637" s="3">
        <f>NETWORKDAYS(DATE(2026,10,31),DATE(2026,10,1))</f>
        <v>-22</v>
      </c>
      <c r="C637" s="3">
        <f t="shared" si="1"/>
        <v>1</v>
      </c>
      <c r="D637" s="3" t="str">
        <f t="shared" si="2"/>
        <v/>
      </c>
      <c r="E637" s="3">
        <f t="shared" si="3"/>
        <v>3</v>
      </c>
    </row>
    <row r="638" ht="15.75" customHeight="1">
      <c r="A638" s="1" t="s">
        <v>671</v>
      </c>
      <c r="B638" s="5">
        <f>WORKDAY(DATE(2026,10,30),1)</f>
        <v>46328</v>
      </c>
      <c r="C638" s="1">
        <f t="shared" si="1"/>
        <v>1</v>
      </c>
      <c r="D638" s="1" t="str">
        <f t="shared" si="2"/>
        <v/>
      </c>
      <c r="E638" s="1">
        <f t="shared" si="3"/>
        <v>5</v>
      </c>
    </row>
    <row r="639" ht="15.75" customHeight="1">
      <c r="A639" s="3" t="s">
        <v>672</v>
      </c>
      <c r="B639" s="4">
        <f>WORKDAY(DATE(2026,10,30),-5)</f>
        <v>46318</v>
      </c>
      <c r="C639" s="3">
        <f t="shared" si="1"/>
        <v>1</v>
      </c>
      <c r="D639" s="3" t="str">
        <f t="shared" si="2"/>
        <v/>
      </c>
      <c r="E639" s="3">
        <f t="shared" si="3"/>
        <v>5</v>
      </c>
    </row>
    <row r="640" ht="15.75" customHeight="1">
      <c r="A640" s="1" t="s">
        <v>673</v>
      </c>
      <c r="B640" s="5">
        <f>WORKDAY(DATE(2026,10,9),1,Inputs!I1:I2)</f>
        <v>46308</v>
      </c>
      <c r="C640" s="1">
        <f t="shared" si="1"/>
        <v>1</v>
      </c>
      <c r="D640" s="1" t="str">
        <f t="shared" si="2"/>
        <v/>
      </c>
      <c r="E640" s="1">
        <f t="shared" si="3"/>
        <v>5</v>
      </c>
    </row>
    <row r="641" ht="15.75" customHeight="1">
      <c r="A641" s="3" t="s">
        <v>674</v>
      </c>
      <c r="B641" s="3">
        <f>SUM(Inputs!X2,Inputs!X3,Inputs!X4)</f>
        <v>40</v>
      </c>
      <c r="C641" s="3">
        <f t="shared" si="1"/>
        <v>1</v>
      </c>
      <c r="D641" s="3" t="str">
        <f t="shared" si="2"/>
        <v/>
      </c>
      <c r="E641" s="3">
        <f t="shared" si="3"/>
        <v>2</v>
      </c>
    </row>
    <row r="642" ht="15.75" customHeight="1">
      <c r="A642" s="1" t="s">
        <v>675</v>
      </c>
      <c r="B642" s="1">
        <f>IF(Inputs!X1=3,VLOOKUP((Inputs!X2+Inputs!X3+Inputs!X4),Inputs!S1:T5,2,TRUE),VLOOKUP((Inputs!X2+Inputs!X3+Inputs!X4),Inputs!U1:V5,2,TRUE))</f>
        <v>0.05</v>
      </c>
      <c r="C642" s="1">
        <f t="shared" si="1"/>
        <v>1</v>
      </c>
      <c r="D642" s="1" t="str">
        <f t="shared" si="2"/>
        <v/>
      </c>
      <c r="E642" s="1">
        <f t="shared" si="3"/>
        <v>4</v>
      </c>
    </row>
    <row r="643" ht="15.75" customHeight="1">
      <c r="A643" s="3" t="s">
        <v>676</v>
      </c>
      <c r="B643" s="3">
        <f t="array" ref="B643">IF(Inputs!X1=3,_xlfn.XLOOKUP((Inputs!X2+Inputs!X3+Inputs!X4),INDEX(Inputs!S1:T5,,1),INDEX(Inputs!S1:T5,,2),,-1),_xlfn.XLOOKUP((Inputs!X2+Inputs!X3+Inputs!X4),INDEX(Inputs!U1:V5,,1),INDEX(Inputs!U1:V5,,2),,-1))</f>
        <v>0.05</v>
      </c>
      <c r="C643" s="3">
        <f t="shared" si="1"/>
        <v>1</v>
      </c>
      <c r="D643" s="3" t="str">
        <f t="shared" si="2"/>
        <v/>
      </c>
      <c r="E643" s="3">
        <f t="shared" si="3"/>
        <v>4</v>
      </c>
    </row>
    <row r="644" ht="15.75" customHeight="1">
      <c r="A644" s="1" t="s">
        <v>677</v>
      </c>
      <c r="B644" s="1">
        <f t="array" ref="B644">IF(Inputs!X1=3,INDEX(Inputs!S1:T5,MATCH((Inputs!X2+Inputs!X3+Inputs!X4),INDEX(Inputs!S1:T5,,1),1),2),INDEX(Inputs!U1:V5,MATCH((Inputs!X2+Inputs!X3+Inputs!X4),INDEX(Inputs!U1:V5,,1),1),2))</f>
        <v>0.05</v>
      </c>
      <c r="C644" s="1">
        <f t="shared" si="1"/>
        <v>1</v>
      </c>
      <c r="D644" s="1" t="str">
        <f t="shared" si="2"/>
        <v/>
      </c>
      <c r="E644" s="1">
        <f t="shared" si="3"/>
        <v>4</v>
      </c>
    </row>
    <row r="645" ht="15.75" customHeight="1">
      <c r="A645" s="3" t="s">
        <v>678</v>
      </c>
      <c r="B645" s="3">
        <f t="array" ref="B645">INDEX(Inputs!W1:W5,Inputs!X8)</f>
        <v>0.05</v>
      </c>
      <c r="C645" s="3">
        <f t="shared" si="1"/>
        <v>1</v>
      </c>
      <c r="D645" s="3" t="str">
        <f t="shared" si="2"/>
        <v/>
      </c>
      <c r="E645" s="3">
        <f t="shared" si="3"/>
        <v>4</v>
      </c>
    </row>
    <row r="646" ht="15.75" customHeight="1">
      <c r="A646" s="1" t="s">
        <v>679</v>
      </c>
      <c r="B646" s="1">
        <f t="array" ref="B646">(IF(Inputs!X1=3,VLOOKUP((Inputs!X2+Inputs!X3+Inputs!X4),Inputs!S1:T5,2,TRUE),VLOOKUP((Inputs!X2+Inputs!X3+Inputs!X4),Inputs!U1:V5,2,TRUE))+INDEX(Inputs!W1:W5,Inputs!X8))</f>
        <v>0.1</v>
      </c>
      <c r="C646" s="1">
        <f t="shared" si="1"/>
        <v>1</v>
      </c>
      <c r="D646" s="1" t="str">
        <f t="shared" si="2"/>
        <v/>
      </c>
      <c r="E646" s="1">
        <f t="shared" si="3"/>
        <v>3</v>
      </c>
    </row>
    <row r="647" ht="15.75" customHeight="1">
      <c r="A647" s="3" t="s">
        <v>680</v>
      </c>
      <c r="B647" s="3">
        <f t="array" ref="B647">ROUND(Inputs!X2*Inputs!X5*(1-(IF(Inputs!X1=3,VLOOKUP((Inputs!X2+Inputs!X3+Inputs!X4),Inputs!S1:T5,2,TRUE),VLOOKUP((Inputs!X2+Inputs!X3+Inputs!X4),Inputs!U1:V5,2,TRUE))+INDEX(Inputs!W1:W5,Inputs!X8))),2)</f>
        <v>27000</v>
      </c>
      <c r="C647" s="3">
        <f t="shared" si="1"/>
        <v>1</v>
      </c>
      <c r="D647" s="3" t="str">
        <f t="shared" si="2"/>
        <v/>
      </c>
      <c r="E647" s="3">
        <f t="shared" si="3"/>
        <v>5</v>
      </c>
    </row>
    <row r="648" ht="15.75" customHeight="1">
      <c r="A648" s="1" t="s">
        <v>681</v>
      </c>
      <c r="B648" s="1">
        <f t="array" ref="B648">ROUND(Inputs!X3*Inputs!X6*(1-(IF(Inputs!X1=3,VLOOKUP((Inputs!X2+Inputs!X3+Inputs!X4),Inputs!S1:T5,2,TRUE),VLOOKUP((Inputs!X2+Inputs!X3+Inputs!X4),Inputs!U1:V5,2,TRUE))+INDEX(Inputs!W1:W5,Inputs!X8))),2)</f>
        <v>3600</v>
      </c>
      <c r="C648" s="1">
        <f t="shared" si="1"/>
        <v>1</v>
      </c>
      <c r="D648" s="1" t="str">
        <f t="shared" si="2"/>
        <v/>
      </c>
      <c r="E648" s="1">
        <f t="shared" si="3"/>
        <v>4</v>
      </c>
    </row>
    <row r="649" ht="15.75" customHeight="1">
      <c r="A649" s="3" t="s">
        <v>682</v>
      </c>
      <c r="B649" s="3">
        <f t="array" ref="B649">ROUND(Inputs!X4*Inputs!X7*(1-(IF(Inputs!X1=3,VLOOKUP((Inputs!X2+Inputs!X3+Inputs!X4),Inputs!S1:T5,2,TRUE),VLOOKUP((Inputs!X2+Inputs!X3+Inputs!X4),Inputs!U1:V5,2,TRUE))+INDEX(Inputs!W1:W5,Inputs!X8))),2)</f>
        <v>0</v>
      </c>
      <c r="C649" s="3">
        <f t="shared" si="1"/>
        <v>1</v>
      </c>
      <c r="D649" s="3" t="str">
        <f t="shared" si="2"/>
        <v/>
      </c>
      <c r="E649" s="3">
        <f t="shared" si="3"/>
        <v>1</v>
      </c>
    </row>
    <row r="650" ht="15.75" customHeight="1">
      <c r="A650" s="1" t="s">
        <v>683</v>
      </c>
      <c r="B650" s="1">
        <f>IF(Inputs!X9="entered",Inputs!X10,Inputs!X5+Inputs!X6*N(Inputs!X12)+Inputs!X7*N(Inputs!X13))</f>
        <v>200</v>
      </c>
      <c r="C650" s="1">
        <f t="shared" si="1"/>
        <v>1</v>
      </c>
      <c r="D650" s="1" t="str">
        <f t="shared" si="2"/>
        <v/>
      </c>
      <c r="E650" s="1">
        <f t="shared" si="3"/>
        <v>3</v>
      </c>
    </row>
    <row r="651" ht="15.75" customHeight="1">
      <c r="A651" s="3" t="s">
        <v>684</v>
      </c>
      <c r="B651" s="3">
        <f t="array" ref="B651">IF(Inputs!X9="entered",Inputs!X10,SUMPRODUCT({TRUE,Inputs!X12,Inputs!X13}*1,{Inputs!X5,Inputs!X6,Inputs!X7}))</f>
        <v>200</v>
      </c>
      <c r="C651" s="3">
        <f t="shared" si="1"/>
        <v>1</v>
      </c>
      <c r="D651" s="3" t="str">
        <f t="shared" si="2"/>
        <v/>
      </c>
      <c r="E651" s="3">
        <f t="shared" si="3"/>
        <v>3</v>
      </c>
    </row>
    <row r="652" ht="15.75" customHeight="1">
      <c r="A652" s="1" t="s">
        <v>685</v>
      </c>
      <c r="B652" s="1">
        <f t="array" ref="B652">ROUND(Inputs!X11*IF(Inputs!X9="entered",Inputs!X10,Inputs!X5+Inputs!X6*N(Inputs!X12)+Inputs!X7*N(Inputs!X13))*(1-(IF(Inputs!X1=3,VLOOKUP((Inputs!X2+Inputs!X3+Inputs!X4),Inputs!S1:T5,2,TRUE),VLOOKUP((Inputs!X2+Inputs!X3+Inputs!X4),Inputs!U1:V5,2,TRUE))+INDEX(Inputs!W1:W5,Inputs!X8))),2)</f>
        <v>360</v>
      </c>
      <c r="C652" s="1">
        <f t="shared" si="1"/>
        <v>1</v>
      </c>
      <c r="D652" s="1" t="str">
        <f t="shared" si="2"/>
        <v/>
      </c>
      <c r="E652" s="1">
        <f t="shared" si="3"/>
        <v>3</v>
      </c>
    </row>
    <row r="653" ht="15.75" customHeight="1">
      <c r="A653" s="3" t="s">
        <v>686</v>
      </c>
      <c r="B653" s="3">
        <f t="array" ref="B653">SUM(ROUND(Inputs!X2*Inputs!X5*(1-(IF(Inputs!X1=3,VLOOKUP((Inputs!X2+Inputs!X3+Inputs!X4),Inputs!S1:T5,2,TRUE),VLOOKUP((Inputs!X2+Inputs!X3+Inputs!X4),Inputs!U1:V5,2,TRUE))+INDEX(Inputs!W1:W5,Inputs!X8))),2),ROUND(Inputs!X3*Inputs!X6*(1-(IF(Inputs!X1=3,VLOOKUP((Inputs!X2+Inputs!X3+Inputs!X4),Inputs!S1:T5,2,TRUE),VLOOKUP((Inputs!X2+Inputs!X3+Inputs!X4),Inputs!U1:V5,2,TRUE))+INDEX(Inputs!W1:W5,Inputs!X8))),2),ROUND(Inputs!X4*Inputs!X7*(1-(IF(Inputs!X1=3,VLOOKUP((Inputs!X2+Inputs!X3+Inputs!X4),Inputs!S1:T5,2,TRUE),VLOOKUP((Inputs!X2+Inputs!X3+Inputs!X4),Inputs!U1:V5,2,TRUE))+INDEX(Inputs!W1:W5,Inputs!X8))),2),ROUND(Inputs!X11*IF(Inputs!X9="entered",Inputs!X10,Inputs!X5+Inputs!X6*N(Inputs!X12)+Inputs!X7*N(Inputs!X13))*(1-(IF(Inputs!X1=3,VLOOKUP((Inputs!X2+Inputs!X3+Inputs!X4),Inputs!S1:T5,2,TRUE),VLOOKUP((Inputs!X2+Inputs!X3+Inputs!X4),Inputs!U1:V5,2,TRUE))+INDEX(Inputs!W1:W5,Inputs!X8))),2))</f>
        <v>30960</v>
      </c>
      <c r="C653" s="3">
        <f t="shared" si="1"/>
        <v>1</v>
      </c>
      <c r="D653" s="3" t="str">
        <f t="shared" si="2"/>
        <v/>
      </c>
      <c r="E653" s="3">
        <f t="shared" si="3"/>
        <v>5</v>
      </c>
    </row>
    <row r="654" ht="15.75" customHeight="1">
      <c r="A654" s="1" t="s">
        <v>687</v>
      </c>
      <c r="B654" s="1">
        <f t="array" ref="B654">SUM(ROUND(Inputs!X2*Inputs!X5*(1-(IF(Inputs!X1=3,VLOOKUP((Inputs!X2+Inputs!X3+Inputs!X4),Inputs!S1:T5,2,TRUE),VLOOKUP((Inputs!X2+Inputs!X3+Inputs!X4),Inputs!U1:V5,2,TRUE))+INDEX(Inputs!W1:W5,Inputs!X8))),2),ROUND(Inputs!X3*Inputs!X6*(1-(IF(Inputs!X1=3,VLOOKUP((Inputs!X2+Inputs!X3+Inputs!X4),Inputs!S1:T5,2,TRUE),VLOOKUP((Inputs!X2+Inputs!X3+Inputs!X4),Inputs!U1:V5,2,TRUE))+INDEX(Inputs!W1:W5,Inputs!X8))),2),ROUND(Inputs!X4*Inputs!X7*(1-(IF(Inputs!X1=3,VLOOKUP((Inputs!X2+Inputs!X3+Inputs!X4),Inputs!S1:T5,2,TRUE),VLOOKUP((Inputs!X2+Inputs!X3+Inputs!X4),Inputs!U1:V5,2,TRUE))+INDEX(Inputs!W1:W5,Inputs!X8))),2),ROUND(Inputs!X11*IF(Inputs!X9="entered",Inputs!X10,Inputs!X5+Inputs!X6*N(Inputs!X12)+Inputs!X7*N(Inputs!X13))*(1-(IF(Inputs!X1=3,VLOOKUP((Inputs!X2+Inputs!X3+Inputs!X4),Inputs!S1:T5,2,TRUE),VLOOKUP((Inputs!X2+Inputs!X3+Inputs!X4),Inputs!U1:V5,2,TRUE))+INDEX(Inputs!W1:W5,Inputs!X8))),2))*Inputs!X1</f>
        <v>92880</v>
      </c>
      <c r="C654" s="1">
        <f t="shared" si="1"/>
        <v>1</v>
      </c>
      <c r="D654" s="1" t="str">
        <f t="shared" si="2"/>
        <v/>
      </c>
      <c r="E654" s="1">
        <f t="shared" si="3"/>
        <v>5</v>
      </c>
    </row>
    <row r="655" ht="15.75" customHeight="1">
      <c r="A655" s="3" t="s">
        <v>688</v>
      </c>
      <c r="B655" s="3" t="str">
        <f>IF(AND(Inputs!X3+Inputs!X4&gt;0,Inputs!X2=0),"Advanced modules need Core","")</f>
        <v/>
      </c>
      <c r="C655" s="3">
        <f t="shared" si="1"/>
        <v>2</v>
      </c>
      <c r="D655" s="3" t="str">
        <f t="shared" si="2"/>
        <v/>
      </c>
      <c r="E655" s="3">
        <f t="shared" si="3"/>
        <v>0</v>
      </c>
    </row>
    <row r="656" ht="15.75" customHeight="1">
      <c r="A656" s="1" t="s">
        <v>689</v>
      </c>
      <c r="B656" s="1">
        <f>IF(Inputs!Y1=3,VLOOKUP((Inputs!Y2+Inputs!Y3+Inputs!Y4),Inputs!S1:T5,2,TRUE),VLOOKUP((Inputs!Y2+Inputs!Y3+Inputs!Y4),Inputs!U1:V5,2,TRUE))</f>
        <v>0.16</v>
      </c>
      <c r="C656" s="1">
        <f t="shared" si="1"/>
        <v>1</v>
      </c>
      <c r="D656" s="1" t="str">
        <f t="shared" si="2"/>
        <v/>
      </c>
      <c r="E656" s="1">
        <f t="shared" si="3"/>
        <v>4</v>
      </c>
    </row>
    <row r="657" ht="15.75" customHeight="1">
      <c r="A657" s="3" t="s">
        <v>690</v>
      </c>
      <c r="B657" s="3">
        <f t="array" ref="B657">IF(Inputs!Y1=3,_xlfn.XLOOKUP((Inputs!Y2+Inputs!Y3+Inputs!Y4),INDEX(Inputs!S1:T5,,1),INDEX(Inputs!S1:T5,,2),,-1),_xlfn.XLOOKUP((Inputs!Y2+Inputs!Y3+Inputs!Y4),INDEX(Inputs!U1:V5,,1),INDEX(Inputs!U1:V5,,2),,-1))</f>
        <v>0.16</v>
      </c>
      <c r="C657" s="3">
        <f t="shared" si="1"/>
        <v>1</v>
      </c>
      <c r="D657" s="3" t="str">
        <f t="shared" si="2"/>
        <v/>
      </c>
      <c r="E657" s="3">
        <f t="shared" si="3"/>
        <v>4</v>
      </c>
    </row>
    <row r="658" ht="15.75" customHeight="1">
      <c r="A658" s="1" t="s">
        <v>691</v>
      </c>
      <c r="B658" s="1">
        <f t="array" ref="B658">IF(Inputs!Y1=3,INDEX(Inputs!S1:T5,MATCH((Inputs!Y2+Inputs!Y3+Inputs!Y4),INDEX(Inputs!S1:T5,,1),1),2),INDEX(Inputs!U1:V5,MATCH((Inputs!Y2+Inputs!Y3+Inputs!Y4),INDEX(Inputs!U1:V5,,1),1),2))</f>
        <v>0.16</v>
      </c>
      <c r="C658" s="1">
        <f t="shared" si="1"/>
        <v>1</v>
      </c>
      <c r="D658" s="1" t="str">
        <f t="shared" si="2"/>
        <v/>
      </c>
      <c r="E658" s="1">
        <f t="shared" si="3"/>
        <v>4</v>
      </c>
    </row>
    <row r="659" ht="15.75" customHeight="1">
      <c r="A659" s="3" t="s">
        <v>692</v>
      </c>
      <c r="B659" s="3">
        <f t="array" ref="B659">(IF(Inputs!Y1=3,VLOOKUP((Inputs!Y2+Inputs!Y3+Inputs!Y4),Inputs!S1:T5,2,TRUE),VLOOKUP((Inputs!Y2+Inputs!Y3+Inputs!Y4),Inputs!U1:V5,2,TRUE))+INDEX(Inputs!W1:W5,Inputs!Y8))</f>
        <v>0.16</v>
      </c>
      <c r="C659" s="3">
        <f t="shared" si="1"/>
        <v>1</v>
      </c>
      <c r="D659" s="3" t="str">
        <f t="shared" si="2"/>
        <v/>
      </c>
      <c r="E659" s="3">
        <f t="shared" si="3"/>
        <v>4</v>
      </c>
    </row>
    <row r="660" ht="15.75" customHeight="1">
      <c r="A660" s="1" t="s">
        <v>693</v>
      </c>
      <c r="B660" s="1">
        <f t="array" ref="B660">ROUND(Inputs!Y2*Inputs!Y5*(1-(IF(Inputs!Y1=3,VLOOKUP((Inputs!Y2+Inputs!Y3+Inputs!Y4),Inputs!S1:T5,2,TRUE),VLOOKUP((Inputs!Y2+Inputs!Y3+Inputs!Y4),Inputs!U1:V5,2,TRUE))+INDEX(Inputs!W1:W5,Inputs!Y8))),2)</f>
        <v>84000</v>
      </c>
      <c r="C660" s="1">
        <f t="shared" si="1"/>
        <v>1</v>
      </c>
      <c r="D660" s="1" t="str">
        <f t="shared" si="2"/>
        <v/>
      </c>
      <c r="E660" s="1">
        <f t="shared" si="3"/>
        <v>5</v>
      </c>
    </row>
    <row r="661" ht="15.75" customHeight="1">
      <c r="A661" s="3" t="s">
        <v>694</v>
      </c>
      <c r="B661" s="3">
        <f>IF(Inputs!Z1=3,VLOOKUP((Inputs!Z2+Inputs!Z3+Inputs!Z4),Inputs!S1:T5,2,TRUE),VLOOKUP((Inputs!Z2+Inputs!Z3+Inputs!Z4),Inputs!U1:V5,2,TRUE))</f>
        <v>0</v>
      </c>
      <c r="C661" s="3">
        <f t="shared" si="1"/>
        <v>1</v>
      </c>
      <c r="D661" s="3" t="str">
        <f t="shared" si="2"/>
        <v/>
      </c>
      <c r="E661" s="3">
        <f t="shared" si="3"/>
        <v>1</v>
      </c>
    </row>
    <row r="662" ht="15.75" customHeight="1">
      <c r="A662" s="1" t="s">
        <v>695</v>
      </c>
      <c r="B662" s="1">
        <f t="array" ref="B662">IF(Inputs!Z1=3,_xlfn.XLOOKUP((Inputs!Z2+Inputs!Z3+Inputs!Z4),INDEX(Inputs!S1:T5,,1),INDEX(Inputs!S1:T5,,2),,-1),_xlfn.XLOOKUP((Inputs!Z2+Inputs!Z3+Inputs!Z4),INDEX(Inputs!U1:V5,,1),INDEX(Inputs!U1:V5,,2),,-1))</f>
        <v>0</v>
      </c>
      <c r="C662" s="1">
        <f t="shared" si="1"/>
        <v>1</v>
      </c>
      <c r="D662" s="1" t="str">
        <f t="shared" si="2"/>
        <v/>
      </c>
      <c r="E662" s="1">
        <f t="shared" si="3"/>
        <v>1</v>
      </c>
    </row>
    <row r="663" ht="15.75" customHeight="1">
      <c r="A663" s="3" t="s">
        <v>696</v>
      </c>
      <c r="B663" s="3">
        <f t="array" ref="B663">IF(Inputs!Z1=3,INDEX(Inputs!S1:T5,MATCH((Inputs!Z2+Inputs!Z3+Inputs!Z4),INDEX(Inputs!S1:T5,,1),1),2),INDEX(Inputs!U1:V5,MATCH((Inputs!Z2+Inputs!Z3+Inputs!Z4),INDEX(Inputs!U1:V5,,1),1),2))</f>
        <v>0</v>
      </c>
      <c r="C663" s="3">
        <f t="shared" si="1"/>
        <v>1</v>
      </c>
      <c r="D663" s="3" t="str">
        <f t="shared" si="2"/>
        <v/>
      </c>
      <c r="E663" s="3">
        <f t="shared" si="3"/>
        <v>1</v>
      </c>
    </row>
    <row r="664" ht="15.75" customHeight="1">
      <c r="A664" s="1" t="s">
        <v>697</v>
      </c>
      <c r="B664" s="1">
        <f>IF(Inputs!AA9="entered",Inputs!AA10,Inputs!AA5+Inputs!AA6*N(Inputs!AA12)+Inputs!AA7*N(Inputs!AA13))</f>
        <v>1400</v>
      </c>
      <c r="C664" s="1">
        <f t="shared" si="1"/>
        <v>1</v>
      </c>
      <c r="D664" s="1" t="str">
        <f t="shared" si="2"/>
        <v/>
      </c>
      <c r="E664" s="1">
        <f t="shared" si="3"/>
        <v>4</v>
      </c>
    </row>
    <row r="665" ht="15.75" customHeight="1">
      <c r="A665" s="3" t="s">
        <v>698</v>
      </c>
      <c r="B665" s="3">
        <f t="array" ref="B665">IF(Inputs!AA9="entered",Inputs!AA10,SUMPRODUCT({TRUE,Inputs!AA12,Inputs!AA13}*1,{Inputs!AA5,Inputs!AA6,Inputs!AA7}))</f>
        <v>1400</v>
      </c>
      <c r="C665" s="3">
        <f t="shared" si="1"/>
        <v>1</v>
      </c>
      <c r="D665" s="3" t="str">
        <f t="shared" si="2"/>
        <v/>
      </c>
      <c r="E665" s="3">
        <f t="shared" si="3"/>
        <v>4</v>
      </c>
    </row>
    <row r="666" ht="15.75" customHeight="1">
      <c r="A666" s="1" t="s">
        <v>699</v>
      </c>
      <c r="B666" s="1">
        <f t="array" ref="B666">ROUND(Inputs!AA11*IF(Inputs!AA9="entered",Inputs!AA10,Inputs!AA5+Inputs!AA6*N(Inputs!AA12)+Inputs!AA7*N(Inputs!AA13))*(1-(IF(Inputs!AA1=3,VLOOKUP((Inputs!AA2+Inputs!AA3+Inputs!AA4),Inputs!S1:T5,2,TRUE),VLOOKUP((Inputs!AA2+Inputs!AA3+Inputs!AA4),Inputs!U1:V5,2,TRUE))+INDEX(Inputs!W1:W5,Inputs!AA8))),2)</f>
        <v>1400</v>
      </c>
      <c r="C666" s="1">
        <f t="shared" si="1"/>
        <v>1</v>
      </c>
      <c r="D666" s="1" t="str">
        <f t="shared" si="2"/>
        <v/>
      </c>
      <c r="E666" s="1">
        <f t="shared" si="3"/>
        <v>4</v>
      </c>
    </row>
    <row r="667" ht="15.75" customHeight="1">
      <c r="A667" s="3" t="s">
        <v>700</v>
      </c>
      <c r="B667" s="3">
        <f>SUM(Inputs!AB2,Inputs!AB3,Inputs!AB4)</f>
        <v>5</v>
      </c>
      <c r="C667" s="3">
        <f t="shared" si="1"/>
        <v>1</v>
      </c>
      <c r="D667" s="3" t="str">
        <f t="shared" si="2"/>
        <v/>
      </c>
      <c r="E667" s="3">
        <f t="shared" si="3"/>
        <v>1</v>
      </c>
    </row>
    <row r="668" ht="15.75" customHeight="1">
      <c r="A668" s="1" t="s">
        <v>701</v>
      </c>
      <c r="B668" s="1" t="str">
        <f>IF(AND(Inputs!AB3+Inputs!AB4&gt;0,Inputs!AB2=0),"Advanced modules need Core","")</f>
        <v>Advanced modules need Core</v>
      </c>
      <c r="C668" s="1">
        <f t="shared" si="1"/>
        <v>2</v>
      </c>
      <c r="D668" s="1" t="str">
        <f t="shared" si="2"/>
        <v/>
      </c>
      <c r="E668" s="1">
        <f t="shared" si="3"/>
        <v>26</v>
      </c>
    </row>
    <row r="669" ht="15.75" customHeight="1">
      <c r="A669" s="3" t="s">
        <v>702</v>
      </c>
      <c r="B669" s="3" t="str">
        <f t="array" ref="B669">INDEX(Inputs!W1:W5,Inputs!AC8)</f>
        <v>#NUM!</v>
      </c>
      <c r="C669" s="3">
        <f t="shared" si="1"/>
        <v>16</v>
      </c>
      <c r="D669" s="3">
        <f t="shared" si="2"/>
        <v>6</v>
      </c>
      <c r="E669" s="3" t="str">
        <f t="shared" si="3"/>
        <v>#NUM!</v>
      </c>
    </row>
    <row r="670" ht="15.75" customHeight="1">
      <c r="A670" s="1" t="s">
        <v>703</v>
      </c>
      <c r="B670" s="1" t="str">
        <f t="array" ref="B670">(IF(Inputs!AC1=3,VLOOKUP((Inputs!AC2+Inputs!AC3+Inputs!AC4),Inputs!S1:T5,2,TRUE),VLOOKUP((Inputs!AC2+Inputs!AC3+Inputs!AC4),Inputs!U1:V5,2,TRUE))+INDEX(Inputs!W1:W5,Inputs!AC8))</f>
        <v>#NUM!</v>
      </c>
      <c r="C670" s="1">
        <f t="shared" si="1"/>
        <v>16</v>
      </c>
      <c r="D670" s="1">
        <f t="shared" si="2"/>
        <v>6</v>
      </c>
      <c r="E670" s="1" t="str">
        <f t="shared" si="3"/>
        <v>#NUM!</v>
      </c>
    </row>
    <row r="671" ht="15.75" customHeight="1">
      <c r="A671" s="3" t="s">
        <v>704</v>
      </c>
      <c r="B671" s="3" t="str">
        <f t="array" ref="B671">ROUND(Inputs!AC2*Inputs!AC5*(1-(IF(Inputs!AC1=3,VLOOKUP((Inputs!AC2+Inputs!AC3+Inputs!AC4),Inputs!S1:T5,2,TRUE),VLOOKUP((Inputs!AC2+Inputs!AC3+Inputs!AC4),Inputs!U1:V5,2,TRUE))+INDEX(Inputs!W1:W5,Inputs!AC8))),2)</f>
        <v>#NUM!</v>
      </c>
      <c r="C671" s="3">
        <f t="shared" si="1"/>
        <v>16</v>
      </c>
      <c r="D671" s="3">
        <f t="shared" si="2"/>
        <v>6</v>
      </c>
      <c r="E671" s="3" t="str">
        <f t="shared" si="3"/>
        <v>#NUM!</v>
      </c>
    </row>
    <row r="672" ht="15.75" customHeight="1">
      <c r="A672" s="1" t="s">
        <v>705</v>
      </c>
      <c r="B672" s="1">
        <f>IF(Inputs!AD1=3,VLOOKUP((Inputs!AD2+Inputs!AD3+Inputs!AD4),Inputs!S1:T5,2,TRUE),VLOOKUP((Inputs!AD2+Inputs!AD3+Inputs!AD4),Inputs!U1:V5,2,TRUE))</f>
        <v>0.08</v>
      </c>
      <c r="C672" s="1">
        <f t="shared" si="1"/>
        <v>1</v>
      </c>
      <c r="D672" s="1" t="str">
        <f t="shared" si="2"/>
        <v/>
      </c>
      <c r="E672" s="1">
        <f t="shared" si="3"/>
        <v>4</v>
      </c>
    </row>
    <row r="673" ht="15.75" customHeight="1">
      <c r="A673" s="3" t="s">
        <v>706</v>
      </c>
      <c r="B673" s="3">
        <f t="array" ref="B673">IF(Inputs!AD1=3,_xlfn.XLOOKUP((Inputs!AD2+Inputs!AD3+Inputs!AD4),INDEX(Inputs!S1:T5,,1),INDEX(Inputs!S1:T5,,2),,-1),_xlfn.XLOOKUP((Inputs!AD2+Inputs!AD3+Inputs!AD4),INDEX(Inputs!U1:V5,,1),INDEX(Inputs!U1:V5,,2),,-1))</f>
        <v>0.08</v>
      </c>
      <c r="C673" s="3">
        <f t="shared" si="1"/>
        <v>1</v>
      </c>
      <c r="D673" s="3" t="str">
        <f t="shared" si="2"/>
        <v/>
      </c>
      <c r="E673" s="3">
        <f t="shared" si="3"/>
        <v>4</v>
      </c>
    </row>
    <row r="674" ht="15.75" customHeight="1">
      <c r="A674" s="1" t="s">
        <v>707</v>
      </c>
      <c r="B674" s="1">
        <f t="array" ref="B674">IF(Inputs!AD1=3,INDEX(Inputs!S1:T5,MATCH((Inputs!AD2+Inputs!AD3+Inputs!AD4),INDEX(Inputs!S1:T5,,1),1),2),INDEX(Inputs!U1:V5,MATCH((Inputs!AD2+Inputs!AD3+Inputs!AD4),INDEX(Inputs!U1:V5,,1),1),2))</f>
        <v>0.08</v>
      </c>
      <c r="C674" s="1">
        <f t="shared" si="1"/>
        <v>1</v>
      </c>
      <c r="D674" s="1" t="str">
        <f t="shared" si="2"/>
        <v/>
      </c>
      <c r="E674" s="1">
        <f t="shared" si="3"/>
        <v>4</v>
      </c>
    </row>
    <row r="675" ht="15.75" customHeight="1">
      <c r="A675" s="3" t="s">
        <v>708</v>
      </c>
      <c r="B675" s="3">
        <f t="array" ref="B675">(IF(Inputs!AD1=3,VLOOKUP((Inputs!AD2+Inputs!AD3+Inputs!AD4),Inputs!S1:T5,2,TRUE),VLOOKUP((Inputs!AD2+Inputs!AD3+Inputs!AD4),Inputs!U1:V5,2,TRUE))+INDEX(Inputs!W1:W5,Inputs!AD8))</f>
        <v>0.18</v>
      </c>
      <c r="C675" s="3">
        <f t="shared" si="1"/>
        <v>1</v>
      </c>
      <c r="D675" s="3" t="str">
        <f t="shared" si="2"/>
        <v/>
      </c>
      <c r="E675" s="3">
        <f t="shared" si="3"/>
        <v>4</v>
      </c>
    </row>
    <row r="676" ht="15.75" customHeight="1">
      <c r="A676" s="1" t="s">
        <v>709</v>
      </c>
      <c r="B676" s="1">
        <f>SUM(Inputs!AE2,Inputs!AE3,Inputs!AE4)</f>
        <v>250</v>
      </c>
      <c r="C676" s="1">
        <f t="shared" si="1"/>
        <v>1</v>
      </c>
      <c r="D676" s="1" t="str">
        <f t="shared" si="2"/>
        <v/>
      </c>
      <c r="E676" s="1">
        <f t="shared" si="3"/>
        <v>3</v>
      </c>
    </row>
    <row r="677" ht="15.75" customHeight="1">
      <c r="A677" s="3" t="s">
        <v>710</v>
      </c>
      <c r="B677" s="3">
        <f>IF(Inputs!AE1=3,VLOOKUP((Inputs!AE2+Inputs!AE3+Inputs!AE4),Inputs!S1:T5,2,TRUE),VLOOKUP((Inputs!AE2+Inputs!AE3+Inputs!AE4),Inputs!U1:V5,2,TRUE))</f>
        <v>0.2</v>
      </c>
      <c r="C677" s="3">
        <f t="shared" si="1"/>
        <v>1</v>
      </c>
      <c r="D677" s="3" t="str">
        <f t="shared" si="2"/>
        <v/>
      </c>
      <c r="E677" s="3">
        <f t="shared" si="3"/>
        <v>3</v>
      </c>
    </row>
    <row r="678" ht="15.75" customHeight="1">
      <c r="A678" s="1" t="s">
        <v>711</v>
      </c>
      <c r="B678" s="1">
        <f t="array" ref="B678">IF(Inputs!AE1=3,_xlfn.XLOOKUP((Inputs!AE2+Inputs!AE3+Inputs!AE4),INDEX(Inputs!S1:T5,,1),INDEX(Inputs!S1:T5,,2),,-1),_xlfn.XLOOKUP((Inputs!AE2+Inputs!AE3+Inputs!AE4),INDEX(Inputs!U1:V5,,1),INDEX(Inputs!U1:V5,,2),,-1))</f>
        <v>0.2</v>
      </c>
      <c r="C678" s="1">
        <f t="shared" si="1"/>
        <v>1</v>
      </c>
      <c r="D678" s="1" t="str">
        <f t="shared" si="2"/>
        <v/>
      </c>
      <c r="E678" s="1">
        <f t="shared" si="3"/>
        <v>3</v>
      </c>
    </row>
    <row r="679" ht="15.75" customHeight="1">
      <c r="A679" s="3" t="s">
        <v>712</v>
      </c>
      <c r="B679" s="3">
        <f t="array" ref="B679">IF(Inputs!AE1=3,INDEX(Inputs!S1:T5,MATCH((Inputs!AE2+Inputs!AE3+Inputs!AE4),INDEX(Inputs!S1:T5,,1),1),2),INDEX(Inputs!U1:V5,MATCH((Inputs!AE2+Inputs!AE3+Inputs!AE4),INDEX(Inputs!U1:V5,,1),1),2))</f>
        <v>0.2</v>
      </c>
      <c r="C679" s="3">
        <f t="shared" si="1"/>
        <v>1</v>
      </c>
      <c r="D679" s="3" t="str">
        <f t="shared" si="2"/>
        <v/>
      </c>
      <c r="E679" s="3">
        <f t="shared" si="3"/>
        <v>3</v>
      </c>
    </row>
    <row r="680" ht="15.75" customHeight="1">
      <c r="A680" s="1" t="s">
        <v>713</v>
      </c>
      <c r="B680" s="1">
        <f t="array" ref="B680">INDEX(Inputs!W1:W5,Inputs!AE8)</f>
        <v>0.2</v>
      </c>
      <c r="C680" s="1">
        <f t="shared" si="1"/>
        <v>1</v>
      </c>
      <c r="D680" s="1" t="str">
        <f t="shared" si="2"/>
        <v/>
      </c>
      <c r="E680" s="1">
        <f t="shared" si="3"/>
        <v>3</v>
      </c>
    </row>
    <row r="681" ht="15.75" customHeight="1">
      <c r="A681" s="3" t="s">
        <v>714</v>
      </c>
      <c r="B681" s="3">
        <f t="array" ref="B681">(IF(Inputs!AE1=3,VLOOKUP((Inputs!AE2+Inputs!AE3+Inputs!AE4),Inputs!S1:T5,2,TRUE),VLOOKUP((Inputs!AE2+Inputs!AE3+Inputs!AE4),Inputs!U1:V5,2,TRUE))+INDEX(Inputs!W1:W5,Inputs!AE8))</f>
        <v>0.4</v>
      </c>
      <c r="C681" s="3">
        <f t="shared" si="1"/>
        <v>1</v>
      </c>
      <c r="D681" s="3" t="str">
        <f t="shared" si="2"/>
        <v/>
      </c>
      <c r="E681" s="3">
        <f t="shared" si="3"/>
        <v>3</v>
      </c>
    </row>
    <row r="682" ht="15.75" customHeight="1">
      <c r="A682" s="1" t="s">
        <v>715</v>
      </c>
      <c r="B682" s="1">
        <f t="array" ref="B682">ROUND(Inputs!AE2*Inputs!AE5*(1-(IF(Inputs!AE1=3,VLOOKUP((Inputs!AE2+Inputs!AE3+Inputs!AE4),Inputs!S1:T5,2,TRUE),VLOOKUP((Inputs!AE2+Inputs!AE3+Inputs!AE4),Inputs!U1:V5,2,TRUE))+INDEX(Inputs!W1:W5,Inputs!AE8))),2)</f>
        <v>120000</v>
      </c>
      <c r="C682" s="1">
        <f t="shared" si="1"/>
        <v>1</v>
      </c>
      <c r="D682" s="1" t="str">
        <f t="shared" si="2"/>
        <v/>
      </c>
      <c r="E682" s="1">
        <f t="shared" si="3"/>
        <v>6</v>
      </c>
    </row>
    <row r="683" ht="15.75" customHeight="1">
      <c r="A683" s="3" t="s">
        <v>716</v>
      </c>
      <c r="B683" s="3">
        <f t="array" ref="B683">ROUND(Inputs!AE3*Inputs!AE6*(1-(IF(Inputs!AE1=3,VLOOKUP((Inputs!AE2+Inputs!AE3+Inputs!AE4),Inputs!S1:T5,2,TRUE),VLOOKUP((Inputs!AE2+Inputs!AE3+Inputs!AE4),Inputs!U1:V5,2,TRUE))+INDEX(Inputs!W1:W5,Inputs!AE8))),2)</f>
        <v>12000</v>
      </c>
      <c r="C683" s="3">
        <f t="shared" si="1"/>
        <v>1</v>
      </c>
      <c r="D683" s="3" t="str">
        <f t="shared" si="2"/>
        <v/>
      </c>
      <c r="E683" s="3">
        <f t="shared" si="3"/>
        <v>5</v>
      </c>
    </row>
    <row r="684" ht="15.75" customHeight="1">
      <c r="A684" s="1" t="s">
        <v>717</v>
      </c>
      <c r="B684" s="1">
        <f t="array" ref="B684">ROUND(Inputs!AE4*Inputs!AE7*(1-(IF(Inputs!AE1=3,VLOOKUP((Inputs!AE2+Inputs!AE3+Inputs!AE4),Inputs!S1:T5,2,TRUE),VLOOKUP((Inputs!AE2+Inputs!AE3+Inputs!AE4),Inputs!U1:V5,2,TRUE))+INDEX(Inputs!W1:W5,Inputs!AE8))),2)</f>
        <v>0</v>
      </c>
      <c r="C684" s="1">
        <f t="shared" si="1"/>
        <v>1</v>
      </c>
      <c r="D684" s="1" t="str">
        <f t="shared" si="2"/>
        <v/>
      </c>
      <c r="E684" s="1">
        <f t="shared" si="3"/>
        <v>1</v>
      </c>
    </row>
    <row r="685" ht="15.75" customHeight="1">
      <c r="A685" s="3" t="s">
        <v>718</v>
      </c>
      <c r="B685" s="3">
        <f>IF(Inputs!AE9="entered",Inputs!AE10,Inputs!AE5+Inputs!AE6*N(Inputs!AE12)+Inputs!AE7*N(Inputs!AE13))</f>
        <v>2000</v>
      </c>
      <c r="C685" s="3">
        <f t="shared" si="1"/>
        <v>1</v>
      </c>
      <c r="D685" s="3" t="str">
        <f t="shared" si="2"/>
        <v/>
      </c>
      <c r="E685" s="3">
        <f t="shared" si="3"/>
        <v>4</v>
      </c>
    </row>
    <row r="686" ht="15.75" customHeight="1">
      <c r="A686" s="1" t="s">
        <v>719</v>
      </c>
      <c r="B686" s="1">
        <f t="array" ref="B686">IF(Inputs!AE9="entered",Inputs!AE10,SUMPRODUCT({TRUE,Inputs!AE12,Inputs!AE13}*1,{Inputs!AE5,Inputs!AE6,Inputs!AE7}))</f>
        <v>2000</v>
      </c>
      <c r="C686" s="1">
        <f t="shared" si="1"/>
        <v>1</v>
      </c>
      <c r="D686" s="1" t="str">
        <f t="shared" si="2"/>
        <v/>
      </c>
      <c r="E686" s="1">
        <f t="shared" si="3"/>
        <v>4</v>
      </c>
    </row>
    <row r="687" ht="15.75" customHeight="1">
      <c r="A687" s="3" t="s">
        <v>720</v>
      </c>
      <c r="B687" s="3">
        <f t="array" ref="B687">ROUND(Inputs!AE11*IF(Inputs!AE9="entered",Inputs!AE10,Inputs!AE5+Inputs!AE6*N(Inputs!AE12)+Inputs!AE7*N(Inputs!AE13))*(1-(IF(Inputs!AE1=3,VLOOKUP((Inputs!AE2+Inputs!AE3+Inputs!AE4),Inputs!S1:T5,2,TRUE),VLOOKUP((Inputs!AE2+Inputs!AE3+Inputs!AE4),Inputs!U1:V5,2,TRUE))+INDEX(Inputs!W1:W5,Inputs!AE8))),2)</f>
        <v>3600</v>
      </c>
      <c r="C687" s="3">
        <f t="shared" si="1"/>
        <v>1</v>
      </c>
      <c r="D687" s="3" t="str">
        <f t="shared" si="2"/>
        <v/>
      </c>
      <c r="E687" s="3">
        <f t="shared" si="3"/>
        <v>4</v>
      </c>
    </row>
    <row r="688" ht="15.75" customHeight="1">
      <c r="A688" s="1" t="s">
        <v>721</v>
      </c>
      <c r="B688" s="1">
        <f t="array" ref="B688">SUM(ROUND(Inputs!AE2*Inputs!AE5*(1-(IF(Inputs!AE1=3,VLOOKUP((Inputs!AE2+Inputs!AE3+Inputs!AE4),Inputs!S1:T5,2,TRUE),VLOOKUP((Inputs!AE2+Inputs!AE3+Inputs!AE4),Inputs!U1:V5,2,TRUE))+INDEX(Inputs!W1:W5,Inputs!AE8))),2),ROUND(Inputs!AE3*Inputs!AE6*(1-(IF(Inputs!AE1=3,VLOOKUP((Inputs!AE2+Inputs!AE3+Inputs!AE4),Inputs!S1:T5,2,TRUE),VLOOKUP((Inputs!AE2+Inputs!AE3+Inputs!AE4),Inputs!U1:V5,2,TRUE))+INDEX(Inputs!W1:W5,Inputs!AE8))),2),ROUND(Inputs!AE4*Inputs!AE7*(1-(IF(Inputs!AE1=3,VLOOKUP((Inputs!AE2+Inputs!AE3+Inputs!AE4),Inputs!S1:T5,2,TRUE),VLOOKUP((Inputs!AE2+Inputs!AE3+Inputs!AE4),Inputs!U1:V5,2,TRUE))+INDEX(Inputs!W1:W5,Inputs!AE8))),2),ROUND(Inputs!AE11*IF(Inputs!AE9="entered",Inputs!AE10,Inputs!AE5+Inputs!AE6*N(Inputs!AE12)+Inputs!AE7*N(Inputs!AE13))*(1-(IF(Inputs!AE1=3,VLOOKUP((Inputs!AE2+Inputs!AE3+Inputs!AE4),Inputs!S1:T5,2,TRUE),VLOOKUP((Inputs!AE2+Inputs!AE3+Inputs!AE4),Inputs!U1:V5,2,TRUE))+INDEX(Inputs!W1:W5,Inputs!AE8))),2))</f>
        <v>135600</v>
      </c>
      <c r="C688" s="1">
        <f t="shared" si="1"/>
        <v>1</v>
      </c>
      <c r="D688" s="1" t="str">
        <f t="shared" si="2"/>
        <v/>
      </c>
      <c r="E688" s="1">
        <f t="shared" si="3"/>
        <v>6</v>
      </c>
    </row>
    <row r="689" ht="15.75" customHeight="1">
      <c r="A689" s="3" t="s">
        <v>722</v>
      </c>
      <c r="B689" s="3">
        <f t="array" ref="B689">SUM(ROUND(Inputs!AE2*Inputs!AE5*(1-(IF(Inputs!AE1=3,VLOOKUP((Inputs!AE2+Inputs!AE3+Inputs!AE4),Inputs!S1:T5,2,TRUE),VLOOKUP((Inputs!AE2+Inputs!AE3+Inputs!AE4),Inputs!U1:V5,2,TRUE))+INDEX(Inputs!W1:W5,Inputs!AE8))),2),ROUND(Inputs!AE3*Inputs!AE6*(1-(IF(Inputs!AE1=3,VLOOKUP((Inputs!AE2+Inputs!AE3+Inputs!AE4),Inputs!S1:T5,2,TRUE),VLOOKUP((Inputs!AE2+Inputs!AE3+Inputs!AE4),Inputs!U1:V5,2,TRUE))+INDEX(Inputs!W1:W5,Inputs!AE8))),2),ROUND(Inputs!AE4*Inputs!AE7*(1-(IF(Inputs!AE1=3,VLOOKUP((Inputs!AE2+Inputs!AE3+Inputs!AE4),Inputs!S1:T5,2,TRUE),VLOOKUP((Inputs!AE2+Inputs!AE3+Inputs!AE4),Inputs!U1:V5,2,TRUE))+INDEX(Inputs!W1:W5,Inputs!AE8))),2),ROUND(Inputs!AE11*IF(Inputs!AE9="entered",Inputs!AE10,Inputs!AE5+Inputs!AE6*N(Inputs!AE12)+Inputs!AE7*N(Inputs!AE13))*(1-(IF(Inputs!AE1=3,VLOOKUP((Inputs!AE2+Inputs!AE3+Inputs!AE4),Inputs!S1:T5,2,TRUE),VLOOKUP((Inputs!AE2+Inputs!AE3+Inputs!AE4),Inputs!U1:V5,2,TRUE))+INDEX(Inputs!W1:W5,Inputs!AE8))),2))*Inputs!AE1</f>
        <v>678000</v>
      </c>
      <c r="C689" s="3">
        <f t="shared" si="1"/>
        <v>1</v>
      </c>
      <c r="D689" s="3" t="str">
        <f t="shared" si="2"/>
        <v/>
      </c>
      <c r="E689" s="3">
        <f t="shared" si="3"/>
        <v>6</v>
      </c>
    </row>
    <row r="690" ht="15.75" customHeight="1">
      <c r="A690" s="1" t="s">
        <v>723</v>
      </c>
      <c r="B690" s="1" t="str">
        <f>IF(AND(Inputs!AE3+Inputs!AE4&gt;0,Inputs!AE2=0),"Advanced modules need Core","")</f>
        <v/>
      </c>
      <c r="C690" s="1">
        <f t="shared" si="1"/>
        <v>2</v>
      </c>
      <c r="D690" s="1" t="str">
        <f t="shared" si="2"/>
        <v/>
      </c>
      <c r="E690" s="1">
        <f t="shared" si="3"/>
        <v>0</v>
      </c>
    </row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>
        <v>10.0</v>
      </c>
      <c r="B1" s="1">
        <v>1.0</v>
      </c>
      <c r="C1" s="1" t="s">
        <v>3</v>
      </c>
      <c r="D1" s="1" t="s">
        <v>4</v>
      </c>
      <c r="E1" s="1">
        <v>30.0</v>
      </c>
      <c r="F1" s="1" t="s">
        <v>6</v>
      </c>
      <c r="G1" s="1" t="s">
        <v>8</v>
      </c>
      <c r="H1" s="1">
        <v>100.0</v>
      </c>
      <c r="I1" s="1">
        <v>46307.0</v>
      </c>
      <c r="J1" s="1" t="s">
        <v>12</v>
      </c>
      <c r="K1" s="1" t="s">
        <v>15</v>
      </c>
      <c r="L1" s="1" t="s">
        <v>17</v>
      </c>
      <c r="M1" s="1" t="s">
        <v>6</v>
      </c>
      <c r="N1" s="1" t="s">
        <v>18</v>
      </c>
      <c r="P1" s="1" t="s">
        <v>19</v>
      </c>
      <c r="Q1" s="1">
        <v>0.3</v>
      </c>
      <c r="R1" s="1" t="s">
        <v>20</v>
      </c>
      <c r="S1" s="1">
        <v>0.0</v>
      </c>
      <c r="T1" s="1">
        <v>0.0</v>
      </c>
      <c r="U1" s="1">
        <v>0.0</v>
      </c>
      <c r="V1" s="1">
        <v>0.03</v>
      </c>
      <c r="W1" s="1">
        <v>0.0</v>
      </c>
      <c r="X1" s="1">
        <v>3.0</v>
      </c>
      <c r="Y1" s="1">
        <v>5.0</v>
      </c>
      <c r="Z1" s="1">
        <v>3.0</v>
      </c>
      <c r="AA1" s="1">
        <v>3.0</v>
      </c>
      <c r="AB1" s="1">
        <v>3.0</v>
      </c>
      <c r="AC1" s="1">
        <v>3.0</v>
      </c>
      <c r="AD1" s="1">
        <v>3.0</v>
      </c>
      <c r="AE1" s="1">
        <v>5.0</v>
      </c>
    </row>
    <row r="2">
      <c r="A2" s="3" t="s">
        <v>21</v>
      </c>
      <c r="B2" s="3">
        <v>2.0</v>
      </c>
      <c r="C2" s="3">
        <v>1.0</v>
      </c>
      <c r="D2" s="3">
        <v>12.5</v>
      </c>
      <c r="E2" s="3">
        <v>10.0</v>
      </c>
      <c r="F2" s="3" t="s">
        <v>15</v>
      </c>
      <c r="G2" s="3" t="s">
        <v>22</v>
      </c>
      <c r="H2" s="3">
        <v>200.0</v>
      </c>
      <c r="I2" s="3">
        <v>46337.0</v>
      </c>
      <c r="J2" s="3" t="s">
        <v>23</v>
      </c>
      <c r="K2" s="3">
        <v>1.0</v>
      </c>
      <c r="L2" s="3">
        <v>2.0</v>
      </c>
      <c r="M2" s="3">
        <v>3.0</v>
      </c>
      <c r="N2" s="3">
        <v>4.0</v>
      </c>
      <c r="O2" s="3"/>
      <c r="P2" s="3" t="s">
        <v>24</v>
      </c>
      <c r="Q2" s="3"/>
      <c r="R2" s="3"/>
      <c r="S2" s="3">
        <v>25.0</v>
      </c>
      <c r="T2" s="3">
        <v>0.05</v>
      </c>
      <c r="U2" s="3">
        <v>25.0</v>
      </c>
      <c r="V2" s="3">
        <v>0.08</v>
      </c>
      <c r="W2" s="3">
        <v>0.05</v>
      </c>
      <c r="X2" s="3">
        <v>30.0</v>
      </c>
      <c r="Y2" s="3">
        <v>100.0</v>
      </c>
      <c r="Z2" s="3">
        <v>24.0</v>
      </c>
      <c r="AA2" s="3">
        <v>10.0</v>
      </c>
      <c r="AB2" s="3">
        <v>0.0</v>
      </c>
      <c r="AC2" s="3">
        <v>30.0</v>
      </c>
      <c r="AD2" s="3">
        <v>50.0</v>
      </c>
      <c r="AE2" s="3">
        <v>200.0</v>
      </c>
    </row>
    <row r="3">
      <c r="A3" s="1" t="b">
        <v>1</v>
      </c>
      <c r="B3" s="1">
        <v>3.0</v>
      </c>
      <c r="C3" s="1">
        <v>50.0</v>
      </c>
      <c r="D3" s="1">
        <v>11.0</v>
      </c>
      <c r="E3" s="1">
        <v>50.0</v>
      </c>
      <c r="F3" s="1" t="s">
        <v>25</v>
      </c>
      <c r="G3" s="1" t="s">
        <v>26</v>
      </c>
      <c r="H3" s="1">
        <v>300.0</v>
      </c>
      <c r="J3" s="1" t="s">
        <v>27</v>
      </c>
      <c r="P3" s="1" t="s">
        <v>28</v>
      </c>
      <c r="S3" s="1">
        <v>50.0</v>
      </c>
      <c r="T3" s="1">
        <v>0.08</v>
      </c>
      <c r="U3" s="1">
        <v>50.0</v>
      </c>
      <c r="V3" s="1">
        <v>0.12</v>
      </c>
      <c r="W3" s="1">
        <v>0.1</v>
      </c>
      <c r="X3" s="1">
        <v>10.0</v>
      </c>
      <c r="Y3" s="1">
        <v>0.0</v>
      </c>
      <c r="Z3" s="1">
        <v>0.0</v>
      </c>
      <c r="AA3" s="1">
        <v>0.0</v>
      </c>
      <c r="AB3" s="1">
        <v>5.0</v>
      </c>
      <c r="AC3" s="1">
        <v>10.0</v>
      </c>
      <c r="AD3" s="1">
        <v>0.0</v>
      </c>
      <c r="AE3" s="1">
        <v>50.0</v>
      </c>
    </row>
    <row r="4">
      <c r="A4" s="3"/>
      <c r="B4" s="3">
        <v>4.0</v>
      </c>
      <c r="C4" s="3">
        <v>100.0</v>
      </c>
      <c r="D4" s="3">
        <v>9.75</v>
      </c>
      <c r="E4" s="3">
        <v>20.0</v>
      </c>
      <c r="F4" s="3" t="s">
        <v>17</v>
      </c>
      <c r="G4" s="3" t="s">
        <v>8</v>
      </c>
      <c r="H4" s="3">
        <v>400.0</v>
      </c>
      <c r="I4" s="3"/>
      <c r="J4" s="3" t="s">
        <v>30</v>
      </c>
      <c r="K4" s="3"/>
      <c r="L4" s="3"/>
      <c r="M4" s="3"/>
      <c r="N4" s="3"/>
      <c r="O4" s="3"/>
      <c r="P4" s="3" t="s">
        <v>31</v>
      </c>
      <c r="Q4" s="3"/>
      <c r="R4" s="3"/>
      <c r="S4" s="3">
        <v>100.0</v>
      </c>
      <c r="T4" s="3">
        <v>0.12</v>
      </c>
      <c r="U4" s="3">
        <v>100.0</v>
      </c>
      <c r="V4" s="3">
        <v>0.16</v>
      </c>
      <c r="W4" s="3">
        <v>0.15</v>
      </c>
      <c r="X4" s="3">
        <v>0.0</v>
      </c>
      <c r="Y4" s="3">
        <v>0.0</v>
      </c>
      <c r="Z4" s="3">
        <v>0.0</v>
      </c>
      <c r="AA4" s="3">
        <v>0.0</v>
      </c>
      <c r="AB4" s="3">
        <v>0.0</v>
      </c>
      <c r="AC4" s="3">
        <v>0.0</v>
      </c>
      <c r="AD4" s="3">
        <v>0.0</v>
      </c>
      <c r="AE4" s="3">
        <v>0.0</v>
      </c>
    </row>
    <row r="5">
      <c r="A5" s="1" t="s">
        <v>33</v>
      </c>
      <c r="B5" s="1">
        <v>5.0</v>
      </c>
      <c r="C5" s="1">
        <v>500.0</v>
      </c>
      <c r="D5" s="1">
        <v>8.4</v>
      </c>
      <c r="E5" s="1">
        <v>40.0</v>
      </c>
      <c r="F5" s="1" t="s">
        <v>18</v>
      </c>
      <c r="J5" s="1" t="s">
        <v>34</v>
      </c>
      <c r="S5" s="1">
        <v>250.0</v>
      </c>
      <c r="T5" s="1">
        <v>0.15</v>
      </c>
      <c r="U5" s="1">
        <v>250.0</v>
      </c>
      <c r="V5" s="1">
        <v>0.2</v>
      </c>
      <c r="W5" s="1">
        <v>0.2</v>
      </c>
      <c r="X5" s="1">
        <v>1000.0</v>
      </c>
      <c r="Y5" s="1">
        <v>1000.0</v>
      </c>
      <c r="Z5" s="1">
        <v>1000.0</v>
      </c>
      <c r="AA5" s="1">
        <v>1000.0</v>
      </c>
      <c r="AB5" s="1">
        <v>1000.0</v>
      </c>
      <c r="AC5" s="1">
        <v>1000.0</v>
      </c>
      <c r="AD5" s="1">
        <v>1000.0</v>
      </c>
      <c r="AE5" s="1">
        <v>1000.0</v>
      </c>
    </row>
    <row r="6">
      <c r="A6" s="3">
        <v>5.0</v>
      </c>
      <c r="B6" s="3"/>
      <c r="C6" s="3"/>
      <c r="D6" s="3"/>
      <c r="E6" s="3"/>
      <c r="F6" s="3"/>
      <c r="G6" s="3"/>
      <c r="H6" s="3"/>
      <c r="I6" s="3"/>
      <c r="J6" s="3" t="s">
        <v>35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>
        <v>400.0</v>
      </c>
      <c r="Y6" s="3">
        <v>400.0</v>
      </c>
      <c r="Z6" s="3">
        <v>400.0</v>
      </c>
      <c r="AA6" s="3">
        <v>400.0</v>
      </c>
      <c r="AB6" s="3">
        <v>400.0</v>
      </c>
      <c r="AC6" s="3">
        <v>400.0</v>
      </c>
      <c r="AD6" s="3">
        <v>400.0</v>
      </c>
      <c r="AE6" s="3">
        <v>400.0</v>
      </c>
    </row>
    <row r="7">
      <c r="X7" s="1">
        <v>600.0</v>
      </c>
      <c r="Y7" s="1">
        <v>600.0</v>
      </c>
      <c r="Z7" s="1">
        <v>600.0</v>
      </c>
      <c r="AA7" s="1">
        <v>600.0</v>
      </c>
      <c r="AB7" s="1">
        <v>600.0</v>
      </c>
      <c r="AC7" s="1">
        <v>600.0</v>
      </c>
      <c r="AD7" s="1">
        <v>600.0</v>
      </c>
      <c r="AE7" s="1">
        <v>600.0</v>
      </c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>
        <v>2.0</v>
      </c>
      <c r="Y8" s="3">
        <v>1.0</v>
      </c>
      <c r="Z8" s="3">
        <v>1.0</v>
      </c>
      <c r="AA8" s="3">
        <v>1.0</v>
      </c>
      <c r="AB8" s="3">
        <v>1.0</v>
      </c>
      <c r="AC8" s="3">
        <v>9.0</v>
      </c>
      <c r="AD8" s="3">
        <v>3.0</v>
      </c>
      <c r="AE8" s="3">
        <v>5.0</v>
      </c>
    </row>
    <row r="9">
      <c r="X9" s="1" t="s">
        <v>36</v>
      </c>
      <c r="Y9" s="1" t="s">
        <v>36</v>
      </c>
      <c r="Z9" s="1" t="s">
        <v>36</v>
      </c>
      <c r="AA9" s="1" t="s">
        <v>37</v>
      </c>
      <c r="AB9" s="1" t="s">
        <v>36</v>
      </c>
      <c r="AC9" s="1" t="s">
        <v>36</v>
      </c>
      <c r="AD9" s="1" t="s">
        <v>36</v>
      </c>
      <c r="AE9" s="1" t="s">
        <v>37</v>
      </c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>
        <v>200.0</v>
      </c>
      <c r="Y10" s="3">
        <v>0.0</v>
      </c>
      <c r="Z10" s="3">
        <v>0.0</v>
      </c>
      <c r="AA10" s="3">
        <v>0.0</v>
      </c>
      <c r="AB10" s="3">
        <v>0.0</v>
      </c>
      <c r="AC10" s="3">
        <v>200.0</v>
      </c>
      <c r="AD10" s="3">
        <v>0.0</v>
      </c>
      <c r="AE10" s="3">
        <v>0.0</v>
      </c>
    </row>
    <row r="11">
      <c r="X11" s="1">
        <v>2.0</v>
      </c>
      <c r="Y11" s="1">
        <v>0.0</v>
      </c>
      <c r="Z11" s="1">
        <v>0.0</v>
      </c>
      <c r="AA11" s="1">
        <v>1.0</v>
      </c>
      <c r="AB11" s="1">
        <v>0.0</v>
      </c>
      <c r="AC11" s="1">
        <v>2.0</v>
      </c>
      <c r="AD11" s="1">
        <v>0.0</v>
      </c>
      <c r="AE11" s="1">
        <v>3.0</v>
      </c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 t="b">
        <v>0</v>
      </c>
      <c r="Y12" s="3" t="b">
        <v>0</v>
      </c>
      <c r="Z12" s="3" t="b">
        <v>0</v>
      </c>
      <c r="AA12" s="3" t="b">
        <v>1</v>
      </c>
      <c r="AB12" s="3" t="b">
        <v>0</v>
      </c>
      <c r="AC12" s="3" t="b">
        <v>0</v>
      </c>
      <c r="AD12" s="3" t="b">
        <v>0</v>
      </c>
      <c r="AE12" s="3" t="b">
        <v>1</v>
      </c>
    </row>
    <row r="13">
      <c r="X13" s="1" t="b">
        <v>0</v>
      </c>
      <c r="Y13" s="1" t="b">
        <v>0</v>
      </c>
      <c r="Z13" s="1" t="b">
        <v>0</v>
      </c>
      <c r="AA13" s="1" t="b">
        <v>0</v>
      </c>
      <c r="AB13" s="1" t="b">
        <v>0</v>
      </c>
      <c r="AC13" s="1" t="b">
        <v>0</v>
      </c>
      <c r="AD13" s="1" t="b">
        <v>0</v>
      </c>
      <c r="AE13" s="1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</row>
    <row r="2">
      <c r="A2" s="3" t="s">
        <v>2</v>
      </c>
    </row>
    <row r="3">
      <c r="A3" s="1" t="s">
        <v>10</v>
      </c>
    </row>
    <row r="4">
      <c r="A4" s="3" t="s">
        <v>13</v>
      </c>
    </row>
    <row r="5">
      <c r="A5" s="1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